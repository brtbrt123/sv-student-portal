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Team" sheetId="2" state="visible" r:id="rId2"/>
    <sheet name="Task Tracker" sheetId="3" state="visible" r:id="rId3"/>
    <sheet name="Weekly Progress" sheetId="4" state="visible" r:id="rId4"/>
    <sheet name="Meeting Log" sheetId="5" state="visible" r:id="rId5"/>
    <sheet name="Peer Evaluation" sheetId="6" state="visible" r:id="rId6"/>
    <sheet name="Summary" sheetId="7" state="visible" r:id="rId7"/>
  </sheets>
  <definedNames>
    <definedName name="_xlnm._FilterDatabase" localSheetId="2" hidden="1">'Task Tracker'!$A$4:$L$54</definedName>
    <definedName name="_xlnm._FilterDatabase" localSheetId="3" hidden="1">'Weekly Progress'!$A$4:$H$64</definedName>
    <definedName name="_xlnm._FilterDatabase" localSheetId="5" hidden="1">'Peer Evaluation'!$A$4:$J$34</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6">
    <font>
      <name val="Calibri"/>
      <family val="2"/>
      <color theme="1"/>
      <sz val="11"/>
      <scheme val="minor"/>
    </font>
    <font>
      <name val="Calibri"/>
      <b val="1"/>
      <sz val="16"/>
    </font>
    <font>
      <name val="Calibri"/>
      <i val="1"/>
      <color rgb="0052525B"/>
    </font>
    <font>
      <name val="Calibri"/>
      <b val="1"/>
    </font>
    <font>
      <name val="Calibri"/>
      <b val="1"/>
      <color rgb="00FFFFFF"/>
      <sz val="11"/>
    </font>
    <font>
      <name val="Calibri"/>
      <i val="1"/>
      <color rgb="0071717A"/>
    </font>
  </fonts>
  <fills count="5">
    <fill>
      <patternFill/>
    </fill>
    <fill>
      <patternFill patternType="gray125"/>
    </fill>
    <fill>
      <patternFill patternType="solid">
        <fgColor rgb="003F3F46"/>
      </patternFill>
    </fill>
    <fill>
      <patternFill patternType="solid">
        <fgColor rgb="00F4F4F5"/>
      </patternFill>
    </fill>
    <fill>
      <patternFill patternType="solid">
        <fgColor rgb="00D4D4D8"/>
      </patternFill>
    </fill>
  </fills>
  <borders count="2">
    <border>
      <left/>
      <right/>
      <top/>
      <bottom/>
      <diagonal/>
    </border>
    <border>
      <left style="thin">
        <color rgb="00A1A1AA"/>
      </left>
      <right style="thin">
        <color rgb="00A1A1AA"/>
      </right>
      <top style="thin">
        <color rgb="00A1A1AA"/>
      </top>
      <bottom style="thin">
        <color rgb="00A1A1AA"/>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5" fillId="0" borderId="1" applyAlignment="1" pivotButton="0" quotePrefix="0" xfId="0">
      <alignment vertical="top" wrapText="1"/>
    </xf>
    <xf numFmtId="164" fontId="5" fillId="0" borderId="1" applyAlignment="1" pivotButton="0" quotePrefix="0" xfId="0">
      <alignment vertical="top" wrapText="1"/>
    </xf>
    <xf numFmtId="165" fontId="5" fillId="0" borderId="1" applyAlignment="1" pivotButton="0" quotePrefix="0" xfId="0">
      <alignment vertical="top" wrapText="1"/>
    </xf>
    <xf numFmtId="0" fontId="5" fillId="3" borderId="1" applyAlignment="1" pivotButton="0" quotePrefix="0" xfId="0">
      <alignment vertical="top" wrapText="1"/>
    </xf>
    <xf numFmtId="164" fontId="5" fillId="3" borderId="1" applyAlignment="1" pivotButton="0" quotePrefix="0" xfId="0">
      <alignment vertical="top" wrapText="1"/>
    </xf>
    <xf numFmtId="165" fontId="5" fillId="3" borderId="1" applyAlignment="1" pivotButton="0" quotePrefix="0" xfId="0">
      <alignment vertical="top" wrapText="1"/>
    </xf>
    <xf numFmtId="164" fontId="0" fillId="3" borderId="1" applyAlignment="1" pivotButton="0" quotePrefix="0" xfId="0">
      <alignment vertical="top" wrapText="1"/>
    </xf>
    <xf numFmtId="165" fontId="0" fillId="3" borderId="1" applyAlignment="1" pivotButton="0" quotePrefix="0" xfId="0">
      <alignment vertical="top" wrapText="1"/>
    </xf>
    <xf numFmtId="164" fontId="0" fillId="0" borderId="1" applyAlignment="1" pivotButton="0" quotePrefix="0" xfId="0">
      <alignment vertical="top" wrapText="1"/>
    </xf>
    <xf numFmtId="165" fontId="0" fillId="0" borderId="1" applyAlignment="1" pivotButton="0" quotePrefix="0" xfId="0">
      <alignment vertical="top" wrapText="1"/>
    </xf>
    <xf numFmtId="9" fontId="0" fillId="0" borderId="1" applyAlignment="1" pivotButton="0" quotePrefix="0" xfId="0">
      <alignment vertical="top" wrapText="1"/>
    </xf>
    <xf numFmtId="9" fontId="0" fillId="3" borderId="1" applyAlignment="1" pivotButton="0" quotePrefix="0" xfId="0">
      <alignment vertical="top" wrapText="1"/>
    </xf>
    <xf numFmtId="0" fontId="0" fillId="0" borderId="1" applyAlignment="1" pivotButton="0" quotePrefix="0" xfId="0">
      <alignment horizontal="center" vertical="center" wrapText="1"/>
    </xf>
    <xf numFmtId="2" fontId="0" fillId="4" borderId="1" applyAlignment="1" pivotButton="0" quotePrefix="0" xfId="0">
      <alignment horizontal="center" vertical="center" wrapText="1"/>
    </xf>
    <xf numFmtId="0" fontId="0" fillId="4" borderId="1" applyAlignment="1" pivotButton="0" quotePrefix="0" xfId="0">
      <alignment vertical="top" wrapText="1"/>
    </xf>
    <xf numFmtId="9" fontId="0" fillId="4" borderId="1" applyAlignment="1" pivotButton="0" quotePrefix="0" xfId="0">
      <alignment vertical="top" wrapText="1"/>
    </xf>
    <xf numFmtId="165" fontId="0" fillId="4" borderId="1" applyAlignment="1" pivotButton="0" quotePrefix="0" xfId="0">
      <alignment vertical="top" wrapText="1"/>
    </xf>
    <xf numFmtId="2" fontId="0" fillId="4" borderId="1" applyAlignment="1" pivotButton="0" quotePrefix="0" xfId="0">
      <alignment vertical="top" wrapText="1"/>
    </xf>
    <xf numFmtId="0" fontId="3" fillId="0" borderId="1" pivotButton="0" quotePrefix="0" xfId="0"/>
    <xf numFmtId="9" fontId="3" fillId="0" borderId="1" pivotButton="0" quotePrefix="0" xfId="0"/>
    <xf numFmtId="165" fontId="3" fillId="0" borderId="1" pivotButton="0" quotePrefix="0" xfId="0"/>
  </cellXfs>
  <cellStyles count="1">
    <cellStyle name="Normal" xfId="0" builtinId="0" hidden="0"/>
  </cellStyles>
  <dxfs count="4">
    <dxf>
      <fill>
        <patternFill patternType="solid">
          <fgColor rgb="00BBF7D0"/>
          <bgColor rgb="00BBF7D0"/>
        </patternFill>
      </fill>
    </dxf>
    <dxf>
      <fill>
        <patternFill patternType="solid">
          <fgColor rgb="00FEF08A"/>
          <bgColor rgb="00FEF08A"/>
        </patternFill>
      </fill>
    </dxf>
    <dxf>
      <fill>
        <patternFill patternType="solid">
          <fgColor rgb="00FECACA"/>
          <bgColor rgb="00FECACA"/>
        </patternFill>
      </fill>
    </dxf>
    <dxf>
      <font>
        <b val="1"/>
        <color rgb="00B91C1C"/>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14"/>
  <sheetViews>
    <sheetView zoomScale="100" workbookViewId="0">
      <selection activeCell="A1" sqref="A1"/>
    </sheetView>
  </sheetViews>
  <sheetFormatPr baseColWidth="8" defaultRowHeight="15"/>
  <cols>
    <col width="30" customWidth="1" min="1" max="1"/>
    <col width="110" customWidth="1" min="2" max="2"/>
  </cols>
  <sheetData>
    <row r="1">
      <c r="A1" s="1" t="inlineStr">
        <is>
          <t>Team Monitoring Sheet</t>
        </is>
      </c>
    </row>
    <row r="2">
      <c r="A2" s="2" t="inlineStr">
        <is>
          <t>Centralized Student Portal and Automated Clearance System | Pamantasan ng Cabuyao | BS Computer Science</t>
        </is>
      </c>
    </row>
    <row r="4">
      <c r="A4" s="3" t="inlineStr">
        <is>
          <t>How to use this workbook</t>
        </is>
      </c>
      <c r="B4" s="4" t="inlineStr"/>
    </row>
    <row r="5">
      <c r="A5" s="3" t="inlineStr">
        <is>
          <t>1. Team</t>
        </is>
      </c>
      <c r="B5" s="4" t="inlineStr">
        <is>
          <t>Check the names and roles on the Team sheet. The lists on the other sheets read from it.</t>
        </is>
      </c>
    </row>
    <row r="6">
      <c r="A6" s="3" t="inlineStr">
        <is>
          <t>2. Task Tracker</t>
        </is>
      </c>
      <c r="B6" s="4" t="inlineStr">
        <is>
          <t>One row per task or deliverable. Pick the member and the status from the lists, enter the hours spent, and add the link to the pull request, issue or file. Update the status as work moves.</t>
        </is>
      </c>
    </row>
    <row r="7">
      <c r="A7" s="3" t="inlineStr">
        <is>
          <t>3. Weekly Progress</t>
        </is>
      </c>
      <c r="B7" s="4" t="inlineStr">
        <is>
          <t>At the end of each week or sprint, each member writes what was planned, what was completed, the hours, blockers and next steps.</t>
        </is>
      </c>
    </row>
    <row r="8">
      <c r="A8" s="3" t="inlineStr">
        <is>
          <t>4. Meeting Log</t>
        </is>
      </c>
      <c r="B8" s="4" t="inlineStr">
        <is>
          <t>Record each team meeting, the decisions and the action items with an owner and a due date.</t>
        </is>
      </c>
    </row>
    <row r="9">
      <c r="A9" s="3" t="inlineStr">
        <is>
          <t>5. Peer Evaluation</t>
        </is>
      </c>
      <c r="B9" s="4" t="inlineStr">
        <is>
          <t>Each member rates every teammate from 1 to 5 on the six criteria. The average per row is calculated. Ratings are given at the end of the project (or each sprint).</t>
        </is>
      </c>
    </row>
    <row r="10">
      <c r="A10" s="3" t="inlineStr">
        <is>
          <t>6. Summary</t>
        </is>
      </c>
      <c r="B10" s="4" t="inlineStr">
        <is>
          <t>Calculated automatically: tasks done, hours, average peer score and share of the work per member. Do not type in the grey cells.</t>
        </is>
      </c>
    </row>
    <row r="11">
      <c r="A11" s="3" t="inlineStr"/>
      <c r="B11" s="4" t="inlineStr"/>
    </row>
    <row r="12">
      <c r="A12" s="3" t="inlineStr">
        <is>
          <t>Rating scale (Peer Evaluation)</t>
        </is>
      </c>
      <c r="B12" s="4" t="inlineStr">
        <is>
          <t>5 = Excellent   4 = Good   3 = Satisfactory   2 = Needs improvement   1 = Poor</t>
        </is>
      </c>
    </row>
    <row r="13">
      <c r="A13" s="3" t="inlineStr">
        <is>
          <t>Status values</t>
        </is>
      </c>
      <c r="B13" s="4" t="inlineStr">
        <is>
          <t>Not started, In progress, Done, Blocked</t>
        </is>
      </c>
    </row>
    <row r="14">
      <c r="A14" s="3" t="inlineStr">
        <is>
          <t>Tip</t>
        </is>
      </c>
      <c r="B14" s="4" t="inlineStr">
        <is>
          <t>Use the filter arrows in the header row to see the tasks of one member or one sprint.</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10"/>
  <sheetViews>
    <sheetView zoomScale="100" workbookViewId="0">
      <selection activeCell="A1" sqref="A1"/>
    </sheetView>
  </sheetViews>
  <sheetFormatPr baseColWidth="8" defaultRowHeight="15"/>
  <cols>
    <col width="5" customWidth="1" min="1" max="1"/>
    <col width="28" customWidth="1" min="2" max="2"/>
    <col width="36" customWidth="1" min="3" max="3"/>
    <col width="18" customWidth="1" min="4" max="4"/>
    <col width="32" customWidth="1" min="5" max="5"/>
    <col width="60" customWidth="1" min="6" max="6"/>
  </cols>
  <sheetData>
    <row r="1">
      <c r="A1" s="1" t="inlineStr">
        <is>
          <t>Team</t>
        </is>
      </c>
    </row>
    <row r="2">
      <c r="A2" s="2" t="inlineStr">
        <is>
          <t>Names feed the drop-down lists on the other sheets.</t>
        </is>
      </c>
    </row>
    <row r="4" ht="32" customHeight="1">
      <c r="A4" s="5" t="inlineStr">
        <is>
          <t>#</t>
        </is>
      </c>
      <c r="B4" s="5" t="inlineStr">
        <is>
          <t>Member</t>
        </is>
      </c>
      <c r="C4" s="5" t="inlineStr">
        <is>
          <t>Role</t>
        </is>
      </c>
      <c r="D4" s="5" t="inlineStr">
        <is>
          <t>Student number</t>
        </is>
      </c>
      <c r="E4" s="5" t="inlineStr">
        <is>
          <t>Email</t>
        </is>
      </c>
      <c r="F4" s="5" t="inlineStr">
        <is>
          <t>Main responsibility</t>
        </is>
      </c>
    </row>
    <row r="5">
      <c r="A5" s="6" t="n">
        <v>1</v>
      </c>
      <c r="B5" s="6" t="inlineStr">
        <is>
          <t>Abarquez, Justinbril</t>
        </is>
      </c>
      <c r="C5" s="6" t="inlineStr">
        <is>
          <t>Project Manager / Systems Analyst</t>
        </is>
      </c>
      <c r="D5" s="6" t="n"/>
      <c r="E5" s="6" t="n"/>
      <c r="F5" s="6" t="inlineStr">
        <is>
          <t>Backlog, sprint plan, system models, SDLC and test plan, documentation, releases</t>
        </is>
      </c>
    </row>
    <row r="6">
      <c r="A6" s="7" t="n">
        <v>2</v>
      </c>
      <c r="B6" s="7" t="inlineStr">
        <is>
          <t>Cruzante, Aaron</t>
        </is>
      </c>
      <c r="C6" s="7" t="inlineStr">
        <is>
          <t>Backend / Database Developer</t>
        </is>
      </c>
      <c r="D6" s="7" t="n"/>
      <c r="E6" s="7" t="n"/>
      <c r="F6" s="7" t="inlineStr">
        <is>
          <t>Database, RLS policies, triggers, authentication, security</t>
        </is>
      </c>
    </row>
    <row r="7">
      <c r="A7" s="6" t="n">
        <v>3</v>
      </c>
      <c r="B7" s="6" t="inlineStr">
        <is>
          <t>Canayong, Ron</t>
        </is>
      </c>
      <c r="C7" s="6" t="inlineStr">
        <is>
          <t>Backend / Database Developer</t>
        </is>
      </c>
      <c r="D7" s="6" t="n"/>
      <c r="E7" s="6" t="n"/>
      <c r="F7" s="6" t="inlineStr">
        <is>
          <t>Database, RLS policies, triggers, authentication, security</t>
        </is>
      </c>
    </row>
    <row r="8">
      <c r="A8" s="7" t="n">
        <v>4</v>
      </c>
      <c r="B8" s="7" t="inlineStr">
        <is>
          <t>Esgana, Justine</t>
        </is>
      </c>
      <c r="C8" s="7" t="inlineStr">
        <is>
          <t>Frontend Developer</t>
        </is>
      </c>
      <c r="D8" s="7" t="n"/>
      <c r="E8" s="7" t="n"/>
      <c r="F8" s="7" t="inlineStr">
        <is>
          <t>UI/UX wireframes and module screens</t>
        </is>
      </c>
    </row>
    <row r="9">
      <c r="A9" s="6" t="n">
        <v>5</v>
      </c>
      <c r="B9" s="6" t="inlineStr">
        <is>
          <t>Espedilon, Arvien</t>
        </is>
      </c>
      <c r="C9" s="6" t="inlineStr">
        <is>
          <t>Frontend Developer</t>
        </is>
      </c>
      <c r="D9" s="6" t="n"/>
      <c r="E9" s="6" t="n"/>
      <c r="F9" s="6" t="inlineStr">
        <is>
          <t>UI/UX wireframes and module screens</t>
        </is>
      </c>
    </row>
    <row r="10">
      <c r="A10" s="7" t="n">
        <v>6</v>
      </c>
      <c r="B10" s="7" t="inlineStr">
        <is>
          <t>Dominado, Byrone</t>
        </is>
      </c>
      <c r="C10" s="7" t="inlineStr">
        <is>
          <t>Frontend Developer</t>
        </is>
      </c>
      <c r="D10" s="7" t="n"/>
      <c r="E10" s="7" t="n"/>
      <c r="F10" s="7" t="inlineStr">
        <is>
          <t>UI/UX wireframes and module screens</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L54"/>
  <sheetViews>
    <sheetView zoomScale="100" workbookViewId="0">
      <pane ySplit="4" topLeftCell="A5" activePane="bottomLeft" state="frozen"/>
      <selection pane="bottomLeft" activeCell="A1" sqref="A1"/>
    </sheetView>
  </sheetViews>
  <sheetFormatPr baseColWidth="8" defaultRowHeight="15"/>
  <cols>
    <col width="9" customWidth="1" min="1" max="1"/>
    <col width="9" customWidth="1" min="2" max="2"/>
    <col width="46" customWidth="1" min="3" max="3"/>
    <col width="24" customWidth="1" min="4" max="4"/>
    <col width="11" customWidth="1" min="5" max="5"/>
    <col width="14" customWidth="1" min="6" max="6"/>
    <col width="12" customWidth="1" min="7" max="7"/>
    <col width="12" customWidth="1" min="8" max="8"/>
    <col width="12" customWidth="1" min="9" max="9"/>
    <col width="11" customWidth="1" min="10" max="10"/>
    <col width="36" customWidth="1" min="11" max="11"/>
    <col width="40" customWidth="1" min="12" max="12"/>
  </cols>
  <sheetData>
    <row r="1">
      <c r="A1" s="1" t="inlineStr">
        <is>
          <t>Task Tracker</t>
        </is>
      </c>
    </row>
    <row r="2">
      <c r="A2" s="2" t="inlineStr">
        <is>
          <t>One row per task. The first three rows are examples; replace or delete them.</t>
        </is>
      </c>
    </row>
    <row r="4" ht="32" customHeight="1">
      <c r="A4" s="5" t="inlineStr">
        <is>
          <t>Task ID</t>
        </is>
      </c>
      <c r="B4" s="5" t="inlineStr">
        <is>
          <t>Sprint</t>
        </is>
      </c>
      <c r="C4" s="5" t="inlineStr">
        <is>
          <t>Task / deliverable</t>
        </is>
      </c>
      <c r="D4" s="5" t="inlineStr">
        <is>
          <t>Assigned to</t>
        </is>
      </c>
      <c r="E4" s="5" t="inlineStr">
        <is>
          <t>Priority</t>
        </is>
      </c>
      <c r="F4" s="5" t="inlineStr">
        <is>
          <t>Status</t>
        </is>
      </c>
      <c r="G4" s="5" t="inlineStr">
        <is>
          <t>Start date</t>
        </is>
      </c>
      <c r="H4" s="5" t="inlineStr">
        <is>
          <t>Due date</t>
        </is>
      </c>
      <c r="I4" s="5" t="inlineStr">
        <is>
          <t>Date done</t>
        </is>
      </c>
      <c r="J4" s="5" t="inlineStr">
        <is>
          <t>Hours spent</t>
        </is>
      </c>
      <c r="K4" s="5" t="inlineStr">
        <is>
          <t>Link (PR, issue, file)</t>
        </is>
      </c>
      <c r="L4" s="5" t="inlineStr">
        <is>
          <t>Remarks</t>
        </is>
      </c>
    </row>
    <row r="5">
      <c r="A5" s="8" t="inlineStr">
        <is>
          <t>T-001</t>
        </is>
      </c>
      <c r="B5" s="8" t="inlineStr">
        <is>
          <t>S1</t>
        </is>
      </c>
      <c r="C5" s="8" t="inlineStr">
        <is>
          <t>Example: ERD and 3NF schema</t>
        </is>
      </c>
      <c r="D5" s="8" t="inlineStr">
        <is>
          <t>Cruzante, Aaron</t>
        </is>
      </c>
      <c r="E5" s="8" t="inlineStr">
        <is>
          <t>High</t>
        </is>
      </c>
      <c r="F5" s="8" t="inlineStr">
        <is>
          <t>Done</t>
        </is>
      </c>
      <c r="G5" s="9" t="inlineStr">
        <is>
          <t>2026-10-01</t>
        </is>
      </c>
      <c r="H5" s="9" t="inlineStr">
        <is>
          <t>2026-10-02</t>
        </is>
      </c>
      <c r="I5" s="9" t="inlineStr">
        <is>
          <t>2026-10-02</t>
        </is>
      </c>
      <c r="J5" s="10" t="n">
        <v>12</v>
      </c>
      <c r="K5" s="8" t="inlineStr">
        <is>
          <t>issue #</t>
        </is>
      </c>
      <c r="L5" s="8" t="inlineStr">
        <is>
          <t>Example row</t>
        </is>
      </c>
    </row>
    <row r="6">
      <c r="A6" s="11" t="inlineStr">
        <is>
          <t>T-002</t>
        </is>
      </c>
      <c r="B6" s="11" t="inlineStr">
        <is>
          <t>S1</t>
        </is>
      </c>
      <c r="C6" s="11" t="inlineStr">
        <is>
          <t>Example: wireframes of the Student screens</t>
        </is>
      </c>
      <c r="D6" s="11" t="inlineStr">
        <is>
          <t>Esgana, Justine</t>
        </is>
      </c>
      <c r="E6" s="11" t="inlineStr">
        <is>
          <t>Medium</t>
        </is>
      </c>
      <c r="F6" s="11" t="inlineStr">
        <is>
          <t>Done</t>
        </is>
      </c>
      <c r="G6" s="12" t="inlineStr">
        <is>
          <t>2026-10-01</t>
        </is>
      </c>
      <c r="H6" s="12" t="inlineStr">
        <is>
          <t>2026-10-02</t>
        </is>
      </c>
      <c r="I6" s="12" t="inlineStr">
        <is>
          <t>2026-10-02</t>
        </is>
      </c>
      <c r="J6" s="13" t="n">
        <v>8</v>
      </c>
      <c r="K6" s="11" t="inlineStr">
        <is>
          <t>Figma link</t>
        </is>
      </c>
      <c r="L6" s="11" t="inlineStr">
        <is>
          <t>Example row</t>
        </is>
      </c>
    </row>
    <row r="7">
      <c r="A7" s="8" t="inlineStr">
        <is>
          <t>T-003</t>
        </is>
      </c>
      <c r="B7" s="8" t="inlineStr">
        <is>
          <t>S2</t>
        </is>
      </c>
      <c r="C7" s="8" t="inlineStr">
        <is>
          <t>Example: login and role routing</t>
        </is>
      </c>
      <c r="D7" s="8" t="inlineStr">
        <is>
          <t>Canayong, Ron</t>
        </is>
      </c>
      <c r="E7" s="8" t="inlineStr">
        <is>
          <t>High</t>
        </is>
      </c>
      <c r="F7" s="8" t="inlineStr">
        <is>
          <t>In progress</t>
        </is>
      </c>
      <c r="G7" s="9" t="inlineStr">
        <is>
          <t>2026-10-05</t>
        </is>
      </c>
      <c r="H7" s="9" t="inlineStr">
        <is>
          <t>2026-10-08</t>
        </is>
      </c>
      <c r="I7" s="9" t="inlineStr"/>
      <c r="J7" s="10" t="n">
        <v>6</v>
      </c>
      <c r="K7" s="8" t="inlineStr">
        <is>
          <t>PR #</t>
        </is>
      </c>
      <c r="L7" s="8" t="inlineStr">
        <is>
          <t>Example row</t>
        </is>
      </c>
    </row>
    <row r="8">
      <c r="A8" s="7" t="n"/>
      <c r="B8" s="7" t="n"/>
      <c r="C8" s="7" t="n"/>
      <c r="D8" s="7" t="n"/>
      <c r="E8" s="7" t="n"/>
      <c r="F8" s="7" t="n"/>
      <c r="G8" s="14" t="n"/>
      <c r="H8" s="14" t="n"/>
      <c r="I8" s="14" t="n"/>
      <c r="J8" s="15" t="n"/>
      <c r="K8" s="7" t="n"/>
      <c r="L8" s="7" t="n"/>
    </row>
    <row r="9">
      <c r="A9" s="6" t="n"/>
      <c r="B9" s="6" t="n"/>
      <c r="C9" s="6" t="n"/>
      <c r="D9" s="6" t="n"/>
      <c r="E9" s="6" t="n"/>
      <c r="F9" s="6" t="n"/>
      <c r="G9" s="16" t="n"/>
      <c r="H9" s="16" t="n"/>
      <c r="I9" s="16" t="n"/>
      <c r="J9" s="17" t="n"/>
      <c r="K9" s="6" t="n"/>
      <c r="L9" s="6" t="n"/>
    </row>
    <row r="10">
      <c r="A10" s="7" t="n"/>
      <c r="B10" s="7" t="n"/>
      <c r="C10" s="7" t="n"/>
      <c r="D10" s="7" t="n"/>
      <c r="E10" s="7" t="n"/>
      <c r="F10" s="7" t="n"/>
      <c r="G10" s="14" t="n"/>
      <c r="H10" s="14" t="n"/>
      <c r="I10" s="14" t="n"/>
      <c r="J10" s="15" t="n"/>
      <c r="K10" s="7" t="n"/>
      <c r="L10" s="7" t="n"/>
    </row>
    <row r="11">
      <c r="A11" s="6" t="n"/>
      <c r="B11" s="6" t="n"/>
      <c r="C11" s="6" t="n"/>
      <c r="D11" s="6" t="n"/>
      <c r="E11" s="6" t="n"/>
      <c r="F11" s="6" t="n"/>
      <c r="G11" s="16" t="n"/>
      <c r="H11" s="16" t="n"/>
      <c r="I11" s="16" t="n"/>
      <c r="J11" s="17" t="n"/>
      <c r="K11" s="6" t="n"/>
      <c r="L11" s="6" t="n"/>
    </row>
    <row r="12">
      <c r="A12" s="7" t="n"/>
      <c r="B12" s="7" t="n"/>
      <c r="C12" s="7" t="n"/>
      <c r="D12" s="7" t="n"/>
      <c r="E12" s="7" t="n"/>
      <c r="F12" s="7" t="n"/>
      <c r="G12" s="14" t="n"/>
      <c r="H12" s="14" t="n"/>
      <c r="I12" s="14" t="n"/>
      <c r="J12" s="15" t="n"/>
      <c r="K12" s="7" t="n"/>
      <c r="L12" s="7" t="n"/>
    </row>
    <row r="13">
      <c r="A13" s="6" t="n"/>
      <c r="B13" s="6" t="n"/>
      <c r="C13" s="6" t="n"/>
      <c r="D13" s="6" t="n"/>
      <c r="E13" s="6" t="n"/>
      <c r="F13" s="6" t="n"/>
      <c r="G13" s="16" t="n"/>
      <c r="H13" s="16" t="n"/>
      <c r="I13" s="16" t="n"/>
      <c r="J13" s="17" t="n"/>
      <c r="K13" s="6" t="n"/>
      <c r="L13" s="6" t="n"/>
    </row>
    <row r="14">
      <c r="A14" s="7" t="n"/>
      <c r="B14" s="7" t="n"/>
      <c r="C14" s="7" t="n"/>
      <c r="D14" s="7" t="n"/>
      <c r="E14" s="7" t="n"/>
      <c r="F14" s="7" t="n"/>
      <c r="G14" s="14" t="n"/>
      <c r="H14" s="14" t="n"/>
      <c r="I14" s="14" t="n"/>
      <c r="J14" s="15" t="n"/>
      <c r="K14" s="7" t="n"/>
      <c r="L14" s="7" t="n"/>
    </row>
    <row r="15">
      <c r="A15" s="6" t="n"/>
      <c r="B15" s="6" t="n"/>
      <c r="C15" s="6" t="n"/>
      <c r="D15" s="6" t="n"/>
      <c r="E15" s="6" t="n"/>
      <c r="F15" s="6" t="n"/>
      <c r="G15" s="16" t="n"/>
      <c r="H15" s="16" t="n"/>
      <c r="I15" s="16" t="n"/>
      <c r="J15" s="17" t="n"/>
      <c r="K15" s="6" t="n"/>
      <c r="L15" s="6" t="n"/>
    </row>
    <row r="16">
      <c r="A16" s="7" t="n"/>
      <c r="B16" s="7" t="n"/>
      <c r="C16" s="7" t="n"/>
      <c r="D16" s="7" t="n"/>
      <c r="E16" s="7" t="n"/>
      <c r="F16" s="7" t="n"/>
      <c r="G16" s="14" t="n"/>
      <c r="H16" s="14" t="n"/>
      <c r="I16" s="14" t="n"/>
      <c r="J16" s="15" t="n"/>
      <c r="K16" s="7" t="n"/>
      <c r="L16" s="7" t="n"/>
    </row>
    <row r="17">
      <c r="A17" s="6" t="n"/>
      <c r="B17" s="6" t="n"/>
      <c r="C17" s="6" t="n"/>
      <c r="D17" s="6" t="n"/>
      <c r="E17" s="6" t="n"/>
      <c r="F17" s="6" t="n"/>
      <c r="G17" s="16" t="n"/>
      <c r="H17" s="16" t="n"/>
      <c r="I17" s="16" t="n"/>
      <c r="J17" s="17" t="n"/>
      <c r="K17" s="6" t="n"/>
      <c r="L17" s="6" t="n"/>
    </row>
    <row r="18">
      <c r="A18" s="7" t="n"/>
      <c r="B18" s="7" t="n"/>
      <c r="C18" s="7" t="n"/>
      <c r="D18" s="7" t="n"/>
      <c r="E18" s="7" t="n"/>
      <c r="F18" s="7" t="n"/>
      <c r="G18" s="14" t="n"/>
      <c r="H18" s="14" t="n"/>
      <c r="I18" s="14" t="n"/>
      <c r="J18" s="15" t="n"/>
      <c r="K18" s="7" t="n"/>
      <c r="L18" s="7" t="n"/>
    </row>
    <row r="19">
      <c r="A19" s="6" t="n"/>
      <c r="B19" s="6" t="n"/>
      <c r="C19" s="6" t="n"/>
      <c r="D19" s="6" t="n"/>
      <c r="E19" s="6" t="n"/>
      <c r="F19" s="6" t="n"/>
      <c r="G19" s="16" t="n"/>
      <c r="H19" s="16" t="n"/>
      <c r="I19" s="16" t="n"/>
      <c r="J19" s="17" t="n"/>
      <c r="K19" s="6" t="n"/>
      <c r="L19" s="6" t="n"/>
    </row>
    <row r="20">
      <c r="A20" s="7" t="n"/>
      <c r="B20" s="7" t="n"/>
      <c r="C20" s="7" t="n"/>
      <c r="D20" s="7" t="n"/>
      <c r="E20" s="7" t="n"/>
      <c r="F20" s="7" t="n"/>
      <c r="G20" s="14" t="n"/>
      <c r="H20" s="14" t="n"/>
      <c r="I20" s="14" t="n"/>
      <c r="J20" s="15" t="n"/>
      <c r="K20" s="7" t="n"/>
      <c r="L20" s="7" t="n"/>
    </row>
    <row r="21">
      <c r="A21" s="6" t="n"/>
      <c r="B21" s="6" t="n"/>
      <c r="C21" s="6" t="n"/>
      <c r="D21" s="6" t="n"/>
      <c r="E21" s="6" t="n"/>
      <c r="F21" s="6" t="n"/>
      <c r="G21" s="16" t="n"/>
      <c r="H21" s="16" t="n"/>
      <c r="I21" s="16" t="n"/>
      <c r="J21" s="17" t="n"/>
      <c r="K21" s="6" t="n"/>
      <c r="L21" s="6" t="n"/>
    </row>
    <row r="22">
      <c r="A22" s="7" t="n"/>
      <c r="B22" s="7" t="n"/>
      <c r="C22" s="7" t="n"/>
      <c r="D22" s="7" t="n"/>
      <c r="E22" s="7" t="n"/>
      <c r="F22" s="7" t="n"/>
      <c r="G22" s="14" t="n"/>
      <c r="H22" s="14" t="n"/>
      <c r="I22" s="14" t="n"/>
      <c r="J22" s="15" t="n"/>
      <c r="K22" s="7" t="n"/>
      <c r="L22" s="7" t="n"/>
    </row>
    <row r="23">
      <c r="A23" s="6" t="n"/>
      <c r="B23" s="6" t="n"/>
      <c r="C23" s="6" t="n"/>
      <c r="D23" s="6" t="n"/>
      <c r="E23" s="6" t="n"/>
      <c r="F23" s="6" t="n"/>
      <c r="G23" s="16" t="n"/>
      <c r="H23" s="16" t="n"/>
      <c r="I23" s="16" t="n"/>
      <c r="J23" s="17" t="n"/>
      <c r="K23" s="6" t="n"/>
      <c r="L23" s="6" t="n"/>
    </row>
    <row r="24">
      <c r="A24" s="7" t="n"/>
      <c r="B24" s="7" t="n"/>
      <c r="C24" s="7" t="n"/>
      <c r="D24" s="7" t="n"/>
      <c r="E24" s="7" t="n"/>
      <c r="F24" s="7" t="n"/>
      <c r="G24" s="14" t="n"/>
      <c r="H24" s="14" t="n"/>
      <c r="I24" s="14" t="n"/>
      <c r="J24" s="15" t="n"/>
      <c r="K24" s="7" t="n"/>
      <c r="L24" s="7" t="n"/>
    </row>
    <row r="25">
      <c r="A25" s="6" t="n"/>
      <c r="B25" s="6" t="n"/>
      <c r="C25" s="6" t="n"/>
      <c r="D25" s="6" t="n"/>
      <c r="E25" s="6" t="n"/>
      <c r="F25" s="6" t="n"/>
      <c r="G25" s="16" t="n"/>
      <c r="H25" s="16" t="n"/>
      <c r="I25" s="16" t="n"/>
      <c r="J25" s="17" t="n"/>
      <c r="K25" s="6" t="n"/>
      <c r="L25" s="6" t="n"/>
    </row>
    <row r="26">
      <c r="A26" s="7" t="n"/>
      <c r="B26" s="7" t="n"/>
      <c r="C26" s="7" t="n"/>
      <c r="D26" s="7" t="n"/>
      <c r="E26" s="7" t="n"/>
      <c r="F26" s="7" t="n"/>
      <c r="G26" s="14" t="n"/>
      <c r="H26" s="14" t="n"/>
      <c r="I26" s="14" t="n"/>
      <c r="J26" s="15" t="n"/>
      <c r="K26" s="7" t="n"/>
      <c r="L26" s="7" t="n"/>
    </row>
    <row r="27">
      <c r="A27" s="6" t="n"/>
      <c r="B27" s="6" t="n"/>
      <c r="C27" s="6" t="n"/>
      <c r="D27" s="6" t="n"/>
      <c r="E27" s="6" t="n"/>
      <c r="F27" s="6" t="n"/>
      <c r="G27" s="16" t="n"/>
      <c r="H27" s="16" t="n"/>
      <c r="I27" s="16" t="n"/>
      <c r="J27" s="17" t="n"/>
      <c r="K27" s="6" t="n"/>
      <c r="L27" s="6" t="n"/>
    </row>
    <row r="28">
      <c r="A28" s="7" t="n"/>
      <c r="B28" s="7" t="n"/>
      <c r="C28" s="7" t="n"/>
      <c r="D28" s="7" t="n"/>
      <c r="E28" s="7" t="n"/>
      <c r="F28" s="7" t="n"/>
      <c r="G28" s="14" t="n"/>
      <c r="H28" s="14" t="n"/>
      <c r="I28" s="14" t="n"/>
      <c r="J28" s="15" t="n"/>
      <c r="K28" s="7" t="n"/>
      <c r="L28" s="7" t="n"/>
    </row>
    <row r="29">
      <c r="A29" s="6" t="n"/>
      <c r="B29" s="6" t="n"/>
      <c r="C29" s="6" t="n"/>
      <c r="D29" s="6" t="n"/>
      <c r="E29" s="6" t="n"/>
      <c r="F29" s="6" t="n"/>
      <c r="G29" s="16" t="n"/>
      <c r="H29" s="16" t="n"/>
      <c r="I29" s="16" t="n"/>
      <c r="J29" s="17" t="n"/>
      <c r="K29" s="6" t="n"/>
      <c r="L29" s="6" t="n"/>
    </row>
    <row r="30">
      <c r="A30" s="7" t="n"/>
      <c r="B30" s="7" t="n"/>
      <c r="C30" s="7" t="n"/>
      <c r="D30" s="7" t="n"/>
      <c r="E30" s="7" t="n"/>
      <c r="F30" s="7" t="n"/>
      <c r="G30" s="14" t="n"/>
      <c r="H30" s="14" t="n"/>
      <c r="I30" s="14" t="n"/>
      <c r="J30" s="15" t="n"/>
      <c r="K30" s="7" t="n"/>
      <c r="L30" s="7" t="n"/>
    </row>
    <row r="31">
      <c r="A31" s="6" t="n"/>
      <c r="B31" s="6" t="n"/>
      <c r="C31" s="6" t="n"/>
      <c r="D31" s="6" t="n"/>
      <c r="E31" s="6" t="n"/>
      <c r="F31" s="6" t="n"/>
      <c r="G31" s="16" t="n"/>
      <c r="H31" s="16" t="n"/>
      <c r="I31" s="16" t="n"/>
      <c r="J31" s="17" t="n"/>
      <c r="K31" s="6" t="n"/>
      <c r="L31" s="6" t="n"/>
    </row>
    <row r="32">
      <c r="A32" s="7" t="n"/>
      <c r="B32" s="7" t="n"/>
      <c r="C32" s="7" t="n"/>
      <c r="D32" s="7" t="n"/>
      <c r="E32" s="7" t="n"/>
      <c r="F32" s="7" t="n"/>
      <c r="G32" s="14" t="n"/>
      <c r="H32" s="14" t="n"/>
      <c r="I32" s="14" t="n"/>
      <c r="J32" s="15" t="n"/>
      <c r="K32" s="7" t="n"/>
      <c r="L32" s="7" t="n"/>
    </row>
    <row r="33">
      <c r="A33" s="6" t="n"/>
      <c r="B33" s="6" t="n"/>
      <c r="C33" s="6" t="n"/>
      <c r="D33" s="6" t="n"/>
      <c r="E33" s="6" t="n"/>
      <c r="F33" s="6" t="n"/>
      <c r="G33" s="16" t="n"/>
      <c r="H33" s="16" t="n"/>
      <c r="I33" s="16" t="n"/>
      <c r="J33" s="17" t="n"/>
      <c r="K33" s="6" t="n"/>
      <c r="L33" s="6" t="n"/>
    </row>
    <row r="34">
      <c r="A34" s="7" t="n"/>
      <c r="B34" s="7" t="n"/>
      <c r="C34" s="7" t="n"/>
      <c r="D34" s="7" t="n"/>
      <c r="E34" s="7" t="n"/>
      <c r="F34" s="7" t="n"/>
      <c r="G34" s="14" t="n"/>
      <c r="H34" s="14" t="n"/>
      <c r="I34" s="14" t="n"/>
      <c r="J34" s="15" t="n"/>
      <c r="K34" s="7" t="n"/>
      <c r="L34" s="7" t="n"/>
    </row>
    <row r="35">
      <c r="A35" s="6" t="n"/>
      <c r="B35" s="6" t="n"/>
      <c r="C35" s="6" t="n"/>
      <c r="D35" s="6" t="n"/>
      <c r="E35" s="6" t="n"/>
      <c r="F35" s="6" t="n"/>
      <c r="G35" s="16" t="n"/>
      <c r="H35" s="16" t="n"/>
      <c r="I35" s="16" t="n"/>
      <c r="J35" s="17" t="n"/>
      <c r="K35" s="6" t="n"/>
      <c r="L35" s="6" t="n"/>
    </row>
    <row r="36">
      <c r="A36" s="7" t="n"/>
      <c r="B36" s="7" t="n"/>
      <c r="C36" s="7" t="n"/>
      <c r="D36" s="7" t="n"/>
      <c r="E36" s="7" t="n"/>
      <c r="F36" s="7" t="n"/>
      <c r="G36" s="14" t="n"/>
      <c r="H36" s="14" t="n"/>
      <c r="I36" s="14" t="n"/>
      <c r="J36" s="15" t="n"/>
      <c r="K36" s="7" t="n"/>
      <c r="L36" s="7" t="n"/>
    </row>
    <row r="37">
      <c r="A37" s="6" t="n"/>
      <c r="B37" s="6" t="n"/>
      <c r="C37" s="6" t="n"/>
      <c r="D37" s="6" t="n"/>
      <c r="E37" s="6" t="n"/>
      <c r="F37" s="6" t="n"/>
      <c r="G37" s="16" t="n"/>
      <c r="H37" s="16" t="n"/>
      <c r="I37" s="16" t="n"/>
      <c r="J37" s="17" t="n"/>
      <c r="K37" s="6" t="n"/>
      <c r="L37" s="6" t="n"/>
    </row>
    <row r="38">
      <c r="A38" s="7" t="n"/>
      <c r="B38" s="7" t="n"/>
      <c r="C38" s="7" t="n"/>
      <c r="D38" s="7" t="n"/>
      <c r="E38" s="7" t="n"/>
      <c r="F38" s="7" t="n"/>
      <c r="G38" s="14" t="n"/>
      <c r="H38" s="14" t="n"/>
      <c r="I38" s="14" t="n"/>
      <c r="J38" s="15" t="n"/>
      <c r="K38" s="7" t="n"/>
      <c r="L38" s="7" t="n"/>
    </row>
    <row r="39">
      <c r="A39" s="6" t="n"/>
      <c r="B39" s="6" t="n"/>
      <c r="C39" s="6" t="n"/>
      <c r="D39" s="6" t="n"/>
      <c r="E39" s="6" t="n"/>
      <c r="F39" s="6" t="n"/>
      <c r="G39" s="16" t="n"/>
      <c r="H39" s="16" t="n"/>
      <c r="I39" s="16" t="n"/>
      <c r="J39" s="17" t="n"/>
      <c r="K39" s="6" t="n"/>
      <c r="L39" s="6" t="n"/>
    </row>
    <row r="40">
      <c r="A40" s="7" t="n"/>
      <c r="B40" s="7" t="n"/>
      <c r="C40" s="7" t="n"/>
      <c r="D40" s="7" t="n"/>
      <c r="E40" s="7" t="n"/>
      <c r="F40" s="7" t="n"/>
      <c r="G40" s="14" t="n"/>
      <c r="H40" s="14" t="n"/>
      <c r="I40" s="14" t="n"/>
      <c r="J40" s="15" t="n"/>
      <c r="K40" s="7" t="n"/>
      <c r="L40" s="7" t="n"/>
    </row>
    <row r="41">
      <c r="A41" s="6" t="n"/>
      <c r="B41" s="6" t="n"/>
      <c r="C41" s="6" t="n"/>
      <c r="D41" s="6" t="n"/>
      <c r="E41" s="6" t="n"/>
      <c r="F41" s="6" t="n"/>
      <c r="G41" s="16" t="n"/>
      <c r="H41" s="16" t="n"/>
      <c r="I41" s="16" t="n"/>
      <c r="J41" s="17" t="n"/>
      <c r="K41" s="6" t="n"/>
      <c r="L41" s="6" t="n"/>
    </row>
    <row r="42">
      <c r="A42" s="7" t="n"/>
      <c r="B42" s="7" t="n"/>
      <c r="C42" s="7" t="n"/>
      <c r="D42" s="7" t="n"/>
      <c r="E42" s="7" t="n"/>
      <c r="F42" s="7" t="n"/>
      <c r="G42" s="14" t="n"/>
      <c r="H42" s="14" t="n"/>
      <c r="I42" s="14" t="n"/>
      <c r="J42" s="15" t="n"/>
      <c r="K42" s="7" t="n"/>
      <c r="L42" s="7" t="n"/>
    </row>
    <row r="43">
      <c r="A43" s="6" t="n"/>
      <c r="B43" s="6" t="n"/>
      <c r="C43" s="6" t="n"/>
      <c r="D43" s="6" t="n"/>
      <c r="E43" s="6" t="n"/>
      <c r="F43" s="6" t="n"/>
      <c r="G43" s="16" t="n"/>
      <c r="H43" s="16" t="n"/>
      <c r="I43" s="16" t="n"/>
      <c r="J43" s="17" t="n"/>
      <c r="K43" s="6" t="n"/>
      <c r="L43" s="6" t="n"/>
    </row>
    <row r="44">
      <c r="A44" s="7" t="n"/>
      <c r="B44" s="7" t="n"/>
      <c r="C44" s="7" t="n"/>
      <c r="D44" s="7" t="n"/>
      <c r="E44" s="7" t="n"/>
      <c r="F44" s="7" t="n"/>
      <c r="G44" s="14" t="n"/>
      <c r="H44" s="14" t="n"/>
      <c r="I44" s="14" t="n"/>
      <c r="J44" s="15" t="n"/>
      <c r="K44" s="7" t="n"/>
      <c r="L44" s="7" t="n"/>
    </row>
    <row r="45">
      <c r="A45" s="6" t="n"/>
      <c r="B45" s="6" t="n"/>
      <c r="C45" s="6" t="n"/>
      <c r="D45" s="6" t="n"/>
      <c r="E45" s="6" t="n"/>
      <c r="F45" s="6" t="n"/>
      <c r="G45" s="16" t="n"/>
      <c r="H45" s="16" t="n"/>
      <c r="I45" s="16" t="n"/>
      <c r="J45" s="17" t="n"/>
      <c r="K45" s="6" t="n"/>
      <c r="L45" s="6" t="n"/>
    </row>
    <row r="46">
      <c r="A46" s="7" t="n"/>
      <c r="B46" s="7" t="n"/>
      <c r="C46" s="7" t="n"/>
      <c r="D46" s="7" t="n"/>
      <c r="E46" s="7" t="n"/>
      <c r="F46" s="7" t="n"/>
      <c r="G46" s="14" t="n"/>
      <c r="H46" s="14" t="n"/>
      <c r="I46" s="14" t="n"/>
      <c r="J46" s="15" t="n"/>
      <c r="K46" s="7" t="n"/>
      <c r="L46" s="7" t="n"/>
    </row>
    <row r="47">
      <c r="A47" s="6" t="n"/>
      <c r="B47" s="6" t="n"/>
      <c r="C47" s="6" t="n"/>
      <c r="D47" s="6" t="n"/>
      <c r="E47" s="6" t="n"/>
      <c r="F47" s="6" t="n"/>
      <c r="G47" s="16" t="n"/>
      <c r="H47" s="16" t="n"/>
      <c r="I47" s="16" t="n"/>
      <c r="J47" s="17" t="n"/>
      <c r="K47" s="6" t="n"/>
      <c r="L47" s="6" t="n"/>
    </row>
    <row r="48">
      <c r="A48" s="7" t="n"/>
      <c r="B48" s="7" t="n"/>
      <c r="C48" s="7" t="n"/>
      <c r="D48" s="7" t="n"/>
      <c r="E48" s="7" t="n"/>
      <c r="F48" s="7" t="n"/>
      <c r="G48" s="14" t="n"/>
      <c r="H48" s="14" t="n"/>
      <c r="I48" s="14" t="n"/>
      <c r="J48" s="15" t="n"/>
      <c r="K48" s="7" t="n"/>
      <c r="L48" s="7" t="n"/>
    </row>
    <row r="49">
      <c r="A49" s="6" t="n"/>
      <c r="B49" s="6" t="n"/>
      <c r="C49" s="6" t="n"/>
      <c r="D49" s="6" t="n"/>
      <c r="E49" s="6" t="n"/>
      <c r="F49" s="6" t="n"/>
      <c r="G49" s="16" t="n"/>
      <c r="H49" s="16" t="n"/>
      <c r="I49" s="16" t="n"/>
      <c r="J49" s="17" t="n"/>
      <c r="K49" s="6" t="n"/>
      <c r="L49" s="6" t="n"/>
    </row>
    <row r="50">
      <c r="A50" s="7" t="n"/>
      <c r="B50" s="7" t="n"/>
      <c r="C50" s="7" t="n"/>
      <c r="D50" s="7" t="n"/>
      <c r="E50" s="7" t="n"/>
      <c r="F50" s="7" t="n"/>
      <c r="G50" s="14" t="n"/>
      <c r="H50" s="14" t="n"/>
      <c r="I50" s="14" t="n"/>
      <c r="J50" s="15" t="n"/>
      <c r="K50" s="7" t="n"/>
      <c r="L50" s="7" t="n"/>
    </row>
    <row r="51">
      <c r="A51" s="6" t="n"/>
      <c r="B51" s="6" t="n"/>
      <c r="C51" s="6" t="n"/>
      <c r="D51" s="6" t="n"/>
      <c r="E51" s="6" t="n"/>
      <c r="F51" s="6" t="n"/>
      <c r="G51" s="16" t="n"/>
      <c r="H51" s="16" t="n"/>
      <c r="I51" s="16" t="n"/>
      <c r="J51" s="17" t="n"/>
      <c r="K51" s="6" t="n"/>
      <c r="L51" s="6" t="n"/>
    </row>
    <row r="52">
      <c r="A52" s="7" t="n"/>
      <c r="B52" s="7" t="n"/>
      <c r="C52" s="7" t="n"/>
      <c r="D52" s="7" t="n"/>
      <c r="E52" s="7" t="n"/>
      <c r="F52" s="7" t="n"/>
      <c r="G52" s="14" t="n"/>
      <c r="H52" s="14" t="n"/>
      <c r="I52" s="14" t="n"/>
      <c r="J52" s="15" t="n"/>
      <c r="K52" s="7" t="n"/>
      <c r="L52" s="7" t="n"/>
    </row>
    <row r="53">
      <c r="A53" s="6" t="n"/>
      <c r="B53" s="6" t="n"/>
      <c r="C53" s="6" t="n"/>
      <c r="D53" s="6" t="n"/>
      <c r="E53" s="6" t="n"/>
      <c r="F53" s="6" t="n"/>
      <c r="G53" s="16" t="n"/>
      <c r="H53" s="16" t="n"/>
      <c r="I53" s="16" t="n"/>
      <c r="J53" s="17" t="n"/>
      <c r="K53" s="6" t="n"/>
      <c r="L53" s="6" t="n"/>
    </row>
    <row r="54">
      <c r="A54" s="7" t="n"/>
      <c r="B54" s="7" t="n"/>
      <c r="C54" s="7" t="n"/>
      <c r="D54" s="7" t="n"/>
      <c r="E54" s="7" t="n"/>
      <c r="F54" s="7" t="n"/>
      <c r="G54" s="14" t="n"/>
      <c r="H54" s="14" t="n"/>
      <c r="I54" s="14" t="n"/>
      <c r="J54" s="15" t="n"/>
      <c r="K54" s="7" t="n"/>
      <c r="L54" s="7" t="n"/>
    </row>
  </sheetData>
  <autoFilter ref="A4:L54"/>
  <conditionalFormatting sqref="F5:F54">
    <cfRule type="cellIs" priority="1" operator="equal" dxfId="0">
      <formula>"Done"</formula>
    </cfRule>
    <cfRule type="cellIs" priority="2" operator="equal" dxfId="1">
      <formula>"In progress"</formula>
    </cfRule>
    <cfRule type="cellIs" priority="3" operator="equal" dxfId="2">
      <formula>"Blocked"</formula>
    </cfRule>
  </conditionalFormatting>
  <conditionalFormatting sqref="A5:L54">
    <cfRule type="expression" priority="4" dxfId="3">
      <formula>AND($H5&lt;&gt;"",$F5&lt;&gt;"Done",$H5&lt;TODAY())</formula>
    </cfRule>
  </conditionalFormatting>
  <dataValidations count="3">
    <dataValidation sqref="D5:D54" showDropDown="0" showInputMessage="0" showErrorMessage="0" allowBlank="1" type="list">
      <formula1>=Team!$B$5:$B$10</formula1>
    </dataValidation>
    <dataValidation sqref="E5:E54" showDropDown="0" showInputMessage="0" showErrorMessage="0" allowBlank="1" type="list">
      <formula1>"High,Medium,Low"</formula1>
    </dataValidation>
    <dataValidation sqref="F5:F54" showDropDown="0" showInputMessage="0" showErrorMessage="0" allowBlank="1" type="list">
      <formula1>"Not started,In progress,Done,Blocked"</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H64"/>
  <sheetViews>
    <sheetView zoomScale="100" workbookViewId="0">
      <pane ySplit="4" topLeftCell="A5" activePane="bottomLeft" state="frozen"/>
      <selection pane="bottomLeft" activeCell="A1" sqref="A1"/>
    </sheetView>
  </sheetViews>
  <sheetFormatPr baseColWidth="8" defaultRowHeight="15"/>
  <cols>
    <col width="14" customWidth="1" min="1" max="1"/>
    <col width="26" customWidth="1" min="2" max="2"/>
    <col width="40" customWidth="1" min="3" max="3"/>
    <col width="40" customWidth="1" min="4" max="4"/>
    <col width="9" customWidth="1" min="5" max="5"/>
    <col width="9" customWidth="1" min="6" max="6"/>
    <col width="36" customWidth="1" min="7" max="7"/>
    <col width="36" customWidth="1" min="8" max="8"/>
  </cols>
  <sheetData>
    <row r="1">
      <c r="A1" s="1" t="inlineStr">
        <is>
          <t>Weekly Progress Report</t>
        </is>
      </c>
    </row>
    <row r="2">
      <c r="A2" s="2" t="inlineStr">
        <is>
          <t>Each member fills one row per week or sprint.</t>
        </is>
      </c>
    </row>
    <row r="4" ht="32" customHeight="1">
      <c r="A4" s="5" t="inlineStr">
        <is>
          <t>Week / Sprint</t>
        </is>
      </c>
      <c r="B4" s="5" t="inlineStr">
        <is>
          <t>Member</t>
        </is>
      </c>
      <c r="C4" s="5" t="inlineStr">
        <is>
          <t>Planned tasks</t>
        </is>
      </c>
      <c r="D4" s="5" t="inlineStr">
        <is>
          <t>Completed tasks</t>
        </is>
      </c>
      <c r="E4" s="5" t="inlineStr">
        <is>
          <t>% done</t>
        </is>
      </c>
      <c r="F4" s="5" t="inlineStr">
        <is>
          <t>Hours</t>
        </is>
      </c>
      <c r="G4" s="5" t="inlineStr">
        <is>
          <t>Issues / blockers</t>
        </is>
      </c>
      <c r="H4" s="5" t="inlineStr">
        <is>
          <t>Next steps</t>
        </is>
      </c>
    </row>
    <row r="5">
      <c r="A5" s="6" t="n"/>
      <c r="B5" s="6" t="n"/>
      <c r="C5" s="6" t="n"/>
      <c r="D5" s="6" t="n"/>
      <c r="E5" s="18" t="n"/>
      <c r="F5" s="17" t="n"/>
      <c r="G5" s="6" t="n"/>
      <c r="H5" s="6" t="n"/>
    </row>
    <row r="6">
      <c r="A6" s="7" t="n"/>
      <c r="B6" s="7" t="n"/>
      <c r="C6" s="7" t="n"/>
      <c r="D6" s="7" t="n"/>
      <c r="E6" s="19" t="n"/>
      <c r="F6" s="15" t="n"/>
      <c r="G6" s="7" t="n"/>
      <c r="H6" s="7" t="n"/>
    </row>
    <row r="7">
      <c r="A7" s="6" t="n"/>
      <c r="B7" s="6" t="n"/>
      <c r="C7" s="6" t="n"/>
      <c r="D7" s="6" t="n"/>
      <c r="E7" s="18" t="n"/>
      <c r="F7" s="17" t="n"/>
      <c r="G7" s="6" t="n"/>
      <c r="H7" s="6" t="n"/>
    </row>
    <row r="8">
      <c r="A8" s="7" t="n"/>
      <c r="B8" s="7" t="n"/>
      <c r="C8" s="7" t="n"/>
      <c r="D8" s="7" t="n"/>
      <c r="E8" s="19" t="n"/>
      <c r="F8" s="15" t="n"/>
      <c r="G8" s="7" t="n"/>
      <c r="H8" s="7" t="n"/>
    </row>
    <row r="9">
      <c r="A9" s="6" t="n"/>
      <c r="B9" s="6" t="n"/>
      <c r="C9" s="6" t="n"/>
      <c r="D9" s="6" t="n"/>
      <c r="E9" s="18" t="n"/>
      <c r="F9" s="17" t="n"/>
      <c r="G9" s="6" t="n"/>
      <c r="H9" s="6" t="n"/>
    </row>
    <row r="10">
      <c r="A10" s="7" t="n"/>
      <c r="B10" s="7" t="n"/>
      <c r="C10" s="7" t="n"/>
      <c r="D10" s="7" t="n"/>
      <c r="E10" s="19" t="n"/>
      <c r="F10" s="15" t="n"/>
      <c r="G10" s="7" t="n"/>
      <c r="H10" s="7" t="n"/>
    </row>
    <row r="11">
      <c r="A11" s="6" t="n"/>
      <c r="B11" s="6" t="n"/>
      <c r="C11" s="6" t="n"/>
      <c r="D11" s="6" t="n"/>
      <c r="E11" s="18" t="n"/>
      <c r="F11" s="17" t="n"/>
      <c r="G11" s="6" t="n"/>
      <c r="H11" s="6" t="n"/>
    </row>
    <row r="12">
      <c r="A12" s="7" t="n"/>
      <c r="B12" s="7" t="n"/>
      <c r="C12" s="7" t="n"/>
      <c r="D12" s="7" t="n"/>
      <c r="E12" s="19" t="n"/>
      <c r="F12" s="15" t="n"/>
      <c r="G12" s="7" t="n"/>
      <c r="H12" s="7" t="n"/>
    </row>
    <row r="13">
      <c r="A13" s="6" t="n"/>
      <c r="B13" s="6" t="n"/>
      <c r="C13" s="6" t="n"/>
      <c r="D13" s="6" t="n"/>
      <c r="E13" s="18" t="n"/>
      <c r="F13" s="17" t="n"/>
      <c r="G13" s="6" t="n"/>
      <c r="H13" s="6" t="n"/>
    </row>
    <row r="14">
      <c r="A14" s="7" t="n"/>
      <c r="B14" s="7" t="n"/>
      <c r="C14" s="7" t="n"/>
      <c r="D14" s="7" t="n"/>
      <c r="E14" s="19" t="n"/>
      <c r="F14" s="15" t="n"/>
      <c r="G14" s="7" t="n"/>
      <c r="H14" s="7" t="n"/>
    </row>
    <row r="15">
      <c r="A15" s="6" t="n"/>
      <c r="B15" s="6" t="n"/>
      <c r="C15" s="6" t="n"/>
      <c r="D15" s="6" t="n"/>
      <c r="E15" s="18" t="n"/>
      <c r="F15" s="17" t="n"/>
      <c r="G15" s="6" t="n"/>
      <c r="H15" s="6" t="n"/>
    </row>
    <row r="16">
      <c r="A16" s="7" t="n"/>
      <c r="B16" s="7" t="n"/>
      <c r="C16" s="7" t="n"/>
      <c r="D16" s="7" t="n"/>
      <c r="E16" s="19" t="n"/>
      <c r="F16" s="15" t="n"/>
      <c r="G16" s="7" t="n"/>
      <c r="H16" s="7" t="n"/>
    </row>
    <row r="17">
      <c r="A17" s="6" t="n"/>
      <c r="B17" s="6" t="n"/>
      <c r="C17" s="6" t="n"/>
      <c r="D17" s="6" t="n"/>
      <c r="E17" s="18" t="n"/>
      <c r="F17" s="17" t="n"/>
      <c r="G17" s="6" t="n"/>
      <c r="H17" s="6" t="n"/>
    </row>
    <row r="18">
      <c r="A18" s="7" t="n"/>
      <c r="B18" s="7" t="n"/>
      <c r="C18" s="7" t="n"/>
      <c r="D18" s="7" t="n"/>
      <c r="E18" s="19" t="n"/>
      <c r="F18" s="15" t="n"/>
      <c r="G18" s="7" t="n"/>
      <c r="H18" s="7" t="n"/>
    </row>
    <row r="19">
      <c r="A19" s="6" t="n"/>
      <c r="B19" s="6" t="n"/>
      <c r="C19" s="6" t="n"/>
      <c r="D19" s="6" t="n"/>
      <c r="E19" s="18" t="n"/>
      <c r="F19" s="17" t="n"/>
      <c r="G19" s="6" t="n"/>
      <c r="H19" s="6" t="n"/>
    </row>
    <row r="20">
      <c r="A20" s="7" t="n"/>
      <c r="B20" s="7" t="n"/>
      <c r="C20" s="7" t="n"/>
      <c r="D20" s="7" t="n"/>
      <c r="E20" s="19" t="n"/>
      <c r="F20" s="15" t="n"/>
      <c r="G20" s="7" t="n"/>
      <c r="H20" s="7" t="n"/>
    </row>
    <row r="21">
      <c r="A21" s="6" t="n"/>
      <c r="B21" s="6" t="n"/>
      <c r="C21" s="6" t="n"/>
      <c r="D21" s="6" t="n"/>
      <c r="E21" s="18" t="n"/>
      <c r="F21" s="17" t="n"/>
      <c r="G21" s="6" t="n"/>
      <c r="H21" s="6" t="n"/>
    </row>
    <row r="22">
      <c r="A22" s="7" t="n"/>
      <c r="B22" s="7" t="n"/>
      <c r="C22" s="7" t="n"/>
      <c r="D22" s="7" t="n"/>
      <c r="E22" s="19" t="n"/>
      <c r="F22" s="15" t="n"/>
      <c r="G22" s="7" t="n"/>
      <c r="H22" s="7" t="n"/>
    </row>
    <row r="23">
      <c r="A23" s="6" t="n"/>
      <c r="B23" s="6" t="n"/>
      <c r="C23" s="6" t="n"/>
      <c r="D23" s="6" t="n"/>
      <c r="E23" s="18" t="n"/>
      <c r="F23" s="17" t="n"/>
      <c r="G23" s="6" t="n"/>
      <c r="H23" s="6" t="n"/>
    </row>
    <row r="24">
      <c r="A24" s="7" t="n"/>
      <c r="B24" s="7" t="n"/>
      <c r="C24" s="7" t="n"/>
      <c r="D24" s="7" t="n"/>
      <c r="E24" s="19" t="n"/>
      <c r="F24" s="15" t="n"/>
      <c r="G24" s="7" t="n"/>
      <c r="H24" s="7" t="n"/>
    </row>
    <row r="25">
      <c r="A25" s="6" t="n"/>
      <c r="B25" s="6" t="n"/>
      <c r="C25" s="6" t="n"/>
      <c r="D25" s="6" t="n"/>
      <c r="E25" s="18" t="n"/>
      <c r="F25" s="17" t="n"/>
      <c r="G25" s="6" t="n"/>
      <c r="H25" s="6" t="n"/>
    </row>
    <row r="26">
      <c r="A26" s="7" t="n"/>
      <c r="B26" s="7" t="n"/>
      <c r="C26" s="7" t="n"/>
      <c r="D26" s="7" t="n"/>
      <c r="E26" s="19" t="n"/>
      <c r="F26" s="15" t="n"/>
      <c r="G26" s="7" t="n"/>
      <c r="H26" s="7" t="n"/>
    </row>
    <row r="27">
      <c r="A27" s="6" t="n"/>
      <c r="B27" s="6" t="n"/>
      <c r="C27" s="6" t="n"/>
      <c r="D27" s="6" t="n"/>
      <c r="E27" s="18" t="n"/>
      <c r="F27" s="17" t="n"/>
      <c r="G27" s="6" t="n"/>
      <c r="H27" s="6" t="n"/>
    </row>
    <row r="28">
      <c r="A28" s="7" t="n"/>
      <c r="B28" s="7" t="n"/>
      <c r="C28" s="7" t="n"/>
      <c r="D28" s="7" t="n"/>
      <c r="E28" s="19" t="n"/>
      <c r="F28" s="15" t="n"/>
      <c r="G28" s="7" t="n"/>
      <c r="H28" s="7" t="n"/>
    </row>
    <row r="29">
      <c r="A29" s="6" t="n"/>
      <c r="B29" s="6" t="n"/>
      <c r="C29" s="6" t="n"/>
      <c r="D29" s="6" t="n"/>
      <c r="E29" s="18" t="n"/>
      <c r="F29" s="17" t="n"/>
      <c r="G29" s="6" t="n"/>
      <c r="H29" s="6" t="n"/>
    </row>
    <row r="30">
      <c r="A30" s="7" t="n"/>
      <c r="B30" s="7" t="n"/>
      <c r="C30" s="7" t="n"/>
      <c r="D30" s="7" t="n"/>
      <c r="E30" s="19" t="n"/>
      <c r="F30" s="15" t="n"/>
      <c r="G30" s="7" t="n"/>
      <c r="H30" s="7" t="n"/>
    </row>
    <row r="31">
      <c r="A31" s="6" t="n"/>
      <c r="B31" s="6" t="n"/>
      <c r="C31" s="6" t="n"/>
      <c r="D31" s="6" t="n"/>
      <c r="E31" s="18" t="n"/>
      <c r="F31" s="17" t="n"/>
      <c r="G31" s="6" t="n"/>
      <c r="H31" s="6" t="n"/>
    </row>
    <row r="32">
      <c r="A32" s="7" t="n"/>
      <c r="B32" s="7" t="n"/>
      <c r="C32" s="7" t="n"/>
      <c r="D32" s="7" t="n"/>
      <c r="E32" s="19" t="n"/>
      <c r="F32" s="15" t="n"/>
      <c r="G32" s="7" t="n"/>
      <c r="H32" s="7" t="n"/>
    </row>
    <row r="33">
      <c r="A33" s="6" t="n"/>
      <c r="B33" s="6" t="n"/>
      <c r="C33" s="6" t="n"/>
      <c r="D33" s="6" t="n"/>
      <c r="E33" s="18" t="n"/>
      <c r="F33" s="17" t="n"/>
      <c r="G33" s="6" t="n"/>
      <c r="H33" s="6" t="n"/>
    </row>
    <row r="34">
      <c r="A34" s="7" t="n"/>
      <c r="B34" s="7" t="n"/>
      <c r="C34" s="7" t="n"/>
      <c r="D34" s="7" t="n"/>
      <c r="E34" s="19" t="n"/>
      <c r="F34" s="15" t="n"/>
      <c r="G34" s="7" t="n"/>
      <c r="H34" s="7" t="n"/>
    </row>
    <row r="35">
      <c r="A35" s="6" t="n"/>
      <c r="B35" s="6" t="n"/>
      <c r="C35" s="6" t="n"/>
      <c r="D35" s="6" t="n"/>
      <c r="E35" s="18" t="n"/>
      <c r="F35" s="17" t="n"/>
      <c r="G35" s="6" t="n"/>
      <c r="H35" s="6" t="n"/>
    </row>
    <row r="36">
      <c r="A36" s="7" t="n"/>
      <c r="B36" s="7" t="n"/>
      <c r="C36" s="7" t="n"/>
      <c r="D36" s="7" t="n"/>
      <c r="E36" s="19" t="n"/>
      <c r="F36" s="15" t="n"/>
      <c r="G36" s="7" t="n"/>
      <c r="H36" s="7" t="n"/>
    </row>
    <row r="37">
      <c r="A37" s="6" t="n"/>
      <c r="B37" s="6" t="n"/>
      <c r="C37" s="6" t="n"/>
      <c r="D37" s="6" t="n"/>
      <c r="E37" s="18" t="n"/>
      <c r="F37" s="17" t="n"/>
      <c r="G37" s="6" t="n"/>
      <c r="H37" s="6" t="n"/>
    </row>
    <row r="38">
      <c r="A38" s="7" t="n"/>
      <c r="B38" s="7" t="n"/>
      <c r="C38" s="7" t="n"/>
      <c r="D38" s="7" t="n"/>
      <c r="E38" s="19" t="n"/>
      <c r="F38" s="15" t="n"/>
      <c r="G38" s="7" t="n"/>
      <c r="H38" s="7" t="n"/>
    </row>
    <row r="39">
      <c r="A39" s="6" t="n"/>
      <c r="B39" s="6" t="n"/>
      <c r="C39" s="6" t="n"/>
      <c r="D39" s="6" t="n"/>
      <c r="E39" s="18" t="n"/>
      <c r="F39" s="17" t="n"/>
      <c r="G39" s="6" t="n"/>
      <c r="H39" s="6" t="n"/>
    </row>
    <row r="40">
      <c r="A40" s="7" t="n"/>
      <c r="B40" s="7" t="n"/>
      <c r="C40" s="7" t="n"/>
      <c r="D40" s="7" t="n"/>
      <c r="E40" s="19" t="n"/>
      <c r="F40" s="15" t="n"/>
      <c r="G40" s="7" t="n"/>
      <c r="H40" s="7" t="n"/>
    </row>
    <row r="41">
      <c r="A41" s="6" t="n"/>
      <c r="B41" s="6" t="n"/>
      <c r="C41" s="6" t="n"/>
      <c r="D41" s="6" t="n"/>
      <c r="E41" s="18" t="n"/>
      <c r="F41" s="17" t="n"/>
      <c r="G41" s="6" t="n"/>
      <c r="H41" s="6" t="n"/>
    </row>
    <row r="42">
      <c r="A42" s="7" t="n"/>
      <c r="B42" s="7" t="n"/>
      <c r="C42" s="7" t="n"/>
      <c r="D42" s="7" t="n"/>
      <c r="E42" s="19" t="n"/>
      <c r="F42" s="15" t="n"/>
      <c r="G42" s="7" t="n"/>
      <c r="H42" s="7" t="n"/>
    </row>
    <row r="43">
      <c r="A43" s="6" t="n"/>
      <c r="B43" s="6" t="n"/>
      <c r="C43" s="6" t="n"/>
      <c r="D43" s="6" t="n"/>
      <c r="E43" s="18" t="n"/>
      <c r="F43" s="17" t="n"/>
      <c r="G43" s="6" t="n"/>
      <c r="H43" s="6" t="n"/>
    </row>
    <row r="44">
      <c r="A44" s="7" t="n"/>
      <c r="B44" s="7" t="n"/>
      <c r="C44" s="7" t="n"/>
      <c r="D44" s="7" t="n"/>
      <c r="E44" s="19" t="n"/>
      <c r="F44" s="15" t="n"/>
      <c r="G44" s="7" t="n"/>
      <c r="H44" s="7" t="n"/>
    </row>
    <row r="45">
      <c r="A45" s="6" t="n"/>
      <c r="B45" s="6" t="n"/>
      <c r="C45" s="6" t="n"/>
      <c r="D45" s="6" t="n"/>
      <c r="E45" s="18" t="n"/>
      <c r="F45" s="17" t="n"/>
      <c r="G45" s="6" t="n"/>
      <c r="H45" s="6" t="n"/>
    </row>
    <row r="46">
      <c r="A46" s="7" t="n"/>
      <c r="B46" s="7" t="n"/>
      <c r="C46" s="7" t="n"/>
      <c r="D46" s="7" t="n"/>
      <c r="E46" s="19" t="n"/>
      <c r="F46" s="15" t="n"/>
      <c r="G46" s="7" t="n"/>
      <c r="H46" s="7" t="n"/>
    </row>
    <row r="47">
      <c r="A47" s="6" t="n"/>
      <c r="B47" s="6" t="n"/>
      <c r="C47" s="6" t="n"/>
      <c r="D47" s="6" t="n"/>
      <c r="E47" s="18" t="n"/>
      <c r="F47" s="17" t="n"/>
      <c r="G47" s="6" t="n"/>
      <c r="H47" s="6" t="n"/>
    </row>
    <row r="48">
      <c r="A48" s="7" t="n"/>
      <c r="B48" s="7" t="n"/>
      <c r="C48" s="7" t="n"/>
      <c r="D48" s="7" t="n"/>
      <c r="E48" s="19" t="n"/>
      <c r="F48" s="15" t="n"/>
      <c r="G48" s="7" t="n"/>
      <c r="H48" s="7" t="n"/>
    </row>
    <row r="49">
      <c r="A49" s="6" t="n"/>
      <c r="B49" s="6" t="n"/>
      <c r="C49" s="6" t="n"/>
      <c r="D49" s="6" t="n"/>
      <c r="E49" s="18" t="n"/>
      <c r="F49" s="17" t="n"/>
      <c r="G49" s="6" t="n"/>
      <c r="H49" s="6" t="n"/>
    </row>
    <row r="50">
      <c r="A50" s="7" t="n"/>
      <c r="B50" s="7" t="n"/>
      <c r="C50" s="7" t="n"/>
      <c r="D50" s="7" t="n"/>
      <c r="E50" s="19" t="n"/>
      <c r="F50" s="15" t="n"/>
      <c r="G50" s="7" t="n"/>
      <c r="H50" s="7" t="n"/>
    </row>
    <row r="51">
      <c r="A51" s="6" t="n"/>
      <c r="B51" s="6" t="n"/>
      <c r="C51" s="6" t="n"/>
      <c r="D51" s="6" t="n"/>
      <c r="E51" s="18" t="n"/>
      <c r="F51" s="17" t="n"/>
      <c r="G51" s="6" t="n"/>
      <c r="H51" s="6" t="n"/>
    </row>
    <row r="52">
      <c r="A52" s="7" t="n"/>
      <c r="B52" s="7" t="n"/>
      <c r="C52" s="7" t="n"/>
      <c r="D52" s="7" t="n"/>
      <c r="E52" s="19" t="n"/>
      <c r="F52" s="15" t="n"/>
      <c r="G52" s="7" t="n"/>
      <c r="H52" s="7" t="n"/>
    </row>
    <row r="53">
      <c r="A53" s="6" t="n"/>
      <c r="B53" s="6" t="n"/>
      <c r="C53" s="6" t="n"/>
      <c r="D53" s="6" t="n"/>
      <c r="E53" s="18" t="n"/>
      <c r="F53" s="17" t="n"/>
      <c r="G53" s="6" t="n"/>
      <c r="H53" s="6" t="n"/>
    </row>
    <row r="54">
      <c r="A54" s="7" t="n"/>
      <c r="B54" s="7" t="n"/>
      <c r="C54" s="7" t="n"/>
      <c r="D54" s="7" t="n"/>
      <c r="E54" s="19" t="n"/>
      <c r="F54" s="15" t="n"/>
      <c r="G54" s="7" t="n"/>
      <c r="H54" s="7" t="n"/>
    </row>
    <row r="55">
      <c r="A55" s="6" t="n"/>
      <c r="B55" s="6" t="n"/>
      <c r="C55" s="6" t="n"/>
      <c r="D55" s="6" t="n"/>
      <c r="E55" s="18" t="n"/>
      <c r="F55" s="17" t="n"/>
      <c r="G55" s="6" t="n"/>
      <c r="H55" s="6" t="n"/>
    </row>
    <row r="56">
      <c r="A56" s="7" t="n"/>
      <c r="B56" s="7" t="n"/>
      <c r="C56" s="7" t="n"/>
      <c r="D56" s="7" t="n"/>
      <c r="E56" s="19" t="n"/>
      <c r="F56" s="15" t="n"/>
      <c r="G56" s="7" t="n"/>
      <c r="H56" s="7" t="n"/>
    </row>
    <row r="57">
      <c r="A57" s="6" t="n"/>
      <c r="B57" s="6" t="n"/>
      <c r="C57" s="6" t="n"/>
      <c r="D57" s="6" t="n"/>
      <c r="E57" s="18" t="n"/>
      <c r="F57" s="17" t="n"/>
      <c r="G57" s="6" t="n"/>
      <c r="H57" s="6" t="n"/>
    </row>
    <row r="58">
      <c r="A58" s="7" t="n"/>
      <c r="B58" s="7" t="n"/>
      <c r="C58" s="7" t="n"/>
      <c r="D58" s="7" t="n"/>
      <c r="E58" s="19" t="n"/>
      <c r="F58" s="15" t="n"/>
      <c r="G58" s="7" t="n"/>
      <c r="H58" s="7" t="n"/>
    </row>
    <row r="59">
      <c r="A59" s="6" t="n"/>
      <c r="B59" s="6" t="n"/>
      <c r="C59" s="6" t="n"/>
      <c r="D59" s="6" t="n"/>
      <c r="E59" s="18" t="n"/>
      <c r="F59" s="17" t="n"/>
      <c r="G59" s="6" t="n"/>
      <c r="H59" s="6" t="n"/>
    </row>
    <row r="60">
      <c r="A60" s="7" t="n"/>
      <c r="B60" s="7" t="n"/>
      <c r="C60" s="7" t="n"/>
      <c r="D60" s="7" t="n"/>
      <c r="E60" s="19" t="n"/>
      <c r="F60" s="15" t="n"/>
      <c r="G60" s="7" t="n"/>
      <c r="H60" s="7" t="n"/>
    </row>
    <row r="61">
      <c r="A61" s="6" t="n"/>
      <c r="B61" s="6" t="n"/>
      <c r="C61" s="6" t="n"/>
      <c r="D61" s="6" t="n"/>
      <c r="E61" s="18" t="n"/>
      <c r="F61" s="17" t="n"/>
      <c r="G61" s="6" t="n"/>
      <c r="H61" s="6" t="n"/>
    </row>
    <row r="62">
      <c r="A62" s="7" t="n"/>
      <c r="B62" s="7" t="n"/>
      <c r="C62" s="7" t="n"/>
      <c r="D62" s="7" t="n"/>
      <c r="E62" s="19" t="n"/>
      <c r="F62" s="15" t="n"/>
      <c r="G62" s="7" t="n"/>
      <c r="H62" s="7" t="n"/>
    </row>
    <row r="63">
      <c r="A63" s="6" t="n"/>
      <c r="B63" s="6" t="n"/>
      <c r="C63" s="6" t="n"/>
      <c r="D63" s="6" t="n"/>
      <c r="E63" s="18" t="n"/>
      <c r="F63" s="17" t="n"/>
      <c r="G63" s="6" t="n"/>
      <c r="H63" s="6" t="n"/>
    </row>
    <row r="64">
      <c r="A64" s="7" t="n"/>
      <c r="B64" s="7" t="n"/>
      <c r="C64" s="7" t="n"/>
      <c r="D64" s="7" t="n"/>
      <c r="E64" s="19" t="n"/>
      <c r="F64" s="15" t="n"/>
      <c r="G64" s="7" t="n"/>
      <c r="H64" s="7" t="n"/>
    </row>
  </sheetData>
  <autoFilter ref="A4:H64"/>
  <dataValidations count="1">
    <dataValidation sqref="B5:B64" showDropDown="0" showInputMessage="0" showErrorMessage="0" allowBlank="1" type="list">
      <formula1>=Team!$B$5:$B$10</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H34"/>
  <sheetViews>
    <sheetView zoomScale="100" workbookViewId="0">
      <pane ySplit="4" topLeftCell="A5" activePane="bottomLeft" state="frozen"/>
      <selection pane="bottomLeft" activeCell="A1" sqref="A1"/>
    </sheetView>
  </sheetViews>
  <sheetFormatPr baseColWidth="8" defaultRowHeight="15"/>
  <cols>
    <col width="12" customWidth="1" min="1" max="1"/>
    <col width="16" customWidth="1" min="2" max="2"/>
    <col width="34" customWidth="1" min="3" max="3"/>
    <col width="36" customWidth="1" min="4" max="4"/>
    <col width="40" customWidth="1" min="5" max="5"/>
    <col width="40" customWidth="1" min="6" max="6"/>
    <col width="24" customWidth="1" min="7" max="7"/>
    <col width="12" customWidth="1" min="8" max="8"/>
  </cols>
  <sheetData>
    <row r="1">
      <c r="A1" s="1" t="inlineStr">
        <is>
          <t>Meeting Log</t>
        </is>
      </c>
    </row>
    <row r="2">
      <c r="A2" s="2" t="inlineStr">
        <is>
          <t>Date, who came, what was decided, and who does what by when.</t>
        </is>
      </c>
    </row>
    <row r="4" ht="32" customHeight="1">
      <c r="A4" s="5" t="inlineStr">
        <is>
          <t>Date</t>
        </is>
      </c>
      <c r="B4" s="5" t="inlineStr">
        <is>
          <t>Type</t>
        </is>
      </c>
      <c r="C4" s="5" t="inlineStr">
        <is>
          <t>Attendees</t>
        </is>
      </c>
      <c r="D4" s="5" t="inlineStr">
        <is>
          <t>Agenda</t>
        </is>
      </c>
      <c r="E4" s="5" t="inlineStr">
        <is>
          <t>Decisions</t>
        </is>
      </c>
      <c r="F4" s="5" t="inlineStr">
        <is>
          <t>Action items</t>
        </is>
      </c>
      <c r="G4" s="5" t="inlineStr">
        <is>
          <t>Owner</t>
        </is>
      </c>
      <c r="H4" s="5" t="inlineStr">
        <is>
          <t>Due date</t>
        </is>
      </c>
    </row>
    <row r="5">
      <c r="A5" s="16" t="n"/>
      <c r="B5" s="6" t="n"/>
      <c r="C5" s="6" t="n"/>
      <c r="D5" s="6" t="n"/>
      <c r="E5" s="6" t="n"/>
      <c r="F5" s="6" t="n"/>
      <c r="G5" s="6" t="n"/>
      <c r="H5" s="16" t="n"/>
    </row>
    <row r="6">
      <c r="A6" s="14" t="n"/>
      <c r="B6" s="7" t="n"/>
      <c r="C6" s="7" t="n"/>
      <c r="D6" s="7" t="n"/>
      <c r="E6" s="7" t="n"/>
      <c r="F6" s="7" t="n"/>
      <c r="G6" s="7" t="n"/>
      <c r="H6" s="14" t="n"/>
    </row>
    <row r="7">
      <c r="A7" s="16" t="n"/>
      <c r="B7" s="6" t="n"/>
      <c r="C7" s="6" t="n"/>
      <c r="D7" s="6" t="n"/>
      <c r="E7" s="6" t="n"/>
      <c r="F7" s="6" t="n"/>
      <c r="G7" s="6" t="n"/>
      <c r="H7" s="16" t="n"/>
    </row>
    <row r="8">
      <c r="A8" s="14" t="n"/>
      <c r="B8" s="7" t="n"/>
      <c r="C8" s="7" t="n"/>
      <c r="D8" s="7" t="n"/>
      <c r="E8" s="7" t="n"/>
      <c r="F8" s="7" t="n"/>
      <c r="G8" s="7" t="n"/>
      <c r="H8" s="14" t="n"/>
    </row>
    <row r="9">
      <c r="A9" s="16" t="n"/>
      <c r="B9" s="6" t="n"/>
      <c r="C9" s="6" t="n"/>
      <c r="D9" s="6" t="n"/>
      <c r="E9" s="6" t="n"/>
      <c r="F9" s="6" t="n"/>
      <c r="G9" s="6" t="n"/>
      <c r="H9" s="16" t="n"/>
    </row>
    <row r="10">
      <c r="A10" s="14" t="n"/>
      <c r="B10" s="7" t="n"/>
      <c r="C10" s="7" t="n"/>
      <c r="D10" s="7" t="n"/>
      <c r="E10" s="7" t="n"/>
      <c r="F10" s="7" t="n"/>
      <c r="G10" s="7" t="n"/>
      <c r="H10" s="14" t="n"/>
    </row>
    <row r="11">
      <c r="A11" s="16" t="n"/>
      <c r="B11" s="6" t="n"/>
      <c r="C11" s="6" t="n"/>
      <c r="D11" s="6" t="n"/>
      <c r="E11" s="6" t="n"/>
      <c r="F11" s="6" t="n"/>
      <c r="G11" s="6" t="n"/>
      <c r="H11" s="16" t="n"/>
    </row>
    <row r="12">
      <c r="A12" s="14" t="n"/>
      <c r="B12" s="7" t="n"/>
      <c r="C12" s="7" t="n"/>
      <c r="D12" s="7" t="n"/>
      <c r="E12" s="7" t="n"/>
      <c r="F12" s="7" t="n"/>
      <c r="G12" s="7" t="n"/>
      <c r="H12" s="14" t="n"/>
    </row>
    <row r="13">
      <c r="A13" s="16" t="n"/>
      <c r="B13" s="6" t="n"/>
      <c r="C13" s="6" t="n"/>
      <c r="D13" s="6" t="n"/>
      <c r="E13" s="6" t="n"/>
      <c r="F13" s="6" t="n"/>
      <c r="G13" s="6" t="n"/>
      <c r="H13" s="16" t="n"/>
    </row>
    <row r="14">
      <c r="A14" s="14" t="n"/>
      <c r="B14" s="7" t="n"/>
      <c r="C14" s="7" t="n"/>
      <c r="D14" s="7" t="n"/>
      <c r="E14" s="7" t="n"/>
      <c r="F14" s="7" t="n"/>
      <c r="G14" s="7" t="n"/>
      <c r="H14" s="14" t="n"/>
    </row>
    <row r="15">
      <c r="A15" s="16" t="n"/>
      <c r="B15" s="6" t="n"/>
      <c r="C15" s="6" t="n"/>
      <c r="D15" s="6" t="n"/>
      <c r="E15" s="6" t="n"/>
      <c r="F15" s="6" t="n"/>
      <c r="G15" s="6" t="n"/>
      <c r="H15" s="16" t="n"/>
    </row>
    <row r="16">
      <c r="A16" s="14" t="n"/>
      <c r="B16" s="7" t="n"/>
      <c r="C16" s="7" t="n"/>
      <c r="D16" s="7" t="n"/>
      <c r="E16" s="7" t="n"/>
      <c r="F16" s="7" t="n"/>
      <c r="G16" s="7" t="n"/>
      <c r="H16" s="14" t="n"/>
    </row>
    <row r="17">
      <c r="A17" s="16" t="n"/>
      <c r="B17" s="6" t="n"/>
      <c r="C17" s="6" t="n"/>
      <c r="D17" s="6" t="n"/>
      <c r="E17" s="6" t="n"/>
      <c r="F17" s="6" t="n"/>
      <c r="G17" s="6" t="n"/>
      <c r="H17" s="16" t="n"/>
    </row>
    <row r="18">
      <c r="A18" s="14" t="n"/>
      <c r="B18" s="7" t="n"/>
      <c r="C18" s="7" t="n"/>
      <c r="D18" s="7" t="n"/>
      <c r="E18" s="7" t="n"/>
      <c r="F18" s="7" t="n"/>
      <c r="G18" s="7" t="n"/>
      <c r="H18" s="14" t="n"/>
    </row>
    <row r="19">
      <c r="A19" s="16" t="n"/>
      <c r="B19" s="6" t="n"/>
      <c r="C19" s="6" t="n"/>
      <c r="D19" s="6" t="n"/>
      <c r="E19" s="6" t="n"/>
      <c r="F19" s="6" t="n"/>
      <c r="G19" s="6" t="n"/>
      <c r="H19" s="16" t="n"/>
    </row>
    <row r="20">
      <c r="A20" s="14" t="n"/>
      <c r="B20" s="7" t="n"/>
      <c r="C20" s="7" t="n"/>
      <c r="D20" s="7" t="n"/>
      <c r="E20" s="7" t="n"/>
      <c r="F20" s="7" t="n"/>
      <c r="G20" s="7" t="n"/>
      <c r="H20" s="14" t="n"/>
    </row>
    <row r="21">
      <c r="A21" s="16" t="n"/>
      <c r="B21" s="6" t="n"/>
      <c r="C21" s="6" t="n"/>
      <c r="D21" s="6" t="n"/>
      <c r="E21" s="6" t="n"/>
      <c r="F21" s="6" t="n"/>
      <c r="G21" s="6" t="n"/>
      <c r="H21" s="16" t="n"/>
    </row>
    <row r="22">
      <c r="A22" s="14" t="n"/>
      <c r="B22" s="7" t="n"/>
      <c r="C22" s="7" t="n"/>
      <c r="D22" s="7" t="n"/>
      <c r="E22" s="7" t="n"/>
      <c r="F22" s="7" t="n"/>
      <c r="G22" s="7" t="n"/>
      <c r="H22" s="14" t="n"/>
    </row>
    <row r="23">
      <c r="A23" s="16" t="n"/>
      <c r="B23" s="6" t="n"/>
      <c r="C23" s="6" t="n"/>
      <c r="D23" s="6" t="n"/>
      <c r="E23" s="6" t="n"/>
      <c r="F23" s="6" t="n"/>
      <c r="G23" s="6" t="n"/>
      <c r="H23" s="16" t="n"/>
    </row>
    <row r="24">
      <c r="A24" s="14" t="n"/>
      <c r="B24" s="7" t="n"/>
      <c r="C24" s="7" t="n"/>
      <c r="D24" s="7" t="n"/>
      <c r="E24" s="7" t="n"/>
      <c r="F24" s="7" t="n"/>
      <c r="G24" s="7" t="n"/>
      <c r="H24" s="14" t="n"/>
    </row>
    <row r="25">
      <c r="A25" s="16" t="n"/>
      <c r="B25" s="6" t="n"/>
      <c r="C25" s="6" t="n"/>
      <c r="D25" s="6" t="n"/>
      <c r="E25" s="6" t="n"/>
      <c r="F25" s="6" t="n"/>
      <c r="G25" s="6" t="n"/>
      <c r="H25" s="16" t="n"/>
    </row>
    <row r="26">
      <c r="A26" s="14" t="n"/>
      <c r="B26" s="7" t="n"/>
      <c r="C26" s="7" t="n"/>
      <c r="D26" s="7" t="n"/>
      <c r="E26" s="7" t="n"/>
      <c r="F26" s="7" t="n"/>
      <c r="G26" s="7" t="n"/>
      <c r="H26" s="14" t="n"/>
    </row>
    <row r="27">
      <c r="A27" s="16" t="n"/>
      <c r="B27" s="6" t="n"/>
      <c r="C27" s="6" t="n"/>
      <c r="D27" s="6" t="n"/>
      <c r="E27" s="6" t="n"/>
      <c r="F27" s="6" t="n"/>
      <c r="G27" s="6" t="n"/>
      <c r="H27" s="16" t="n"/>
    </row>
    <row r="28">
      <c r="A28" s="14" t="n"/>
      <c r="B28" s="7" t="n"/>
      <c r="C28" s="7" t="n"/>
      <c r="D28" s="7" t="n"/>
      <c r="E28" s="7" t="n"/>
      <c r="F28" s="7" t="n"/>
      <c r="G28" s="7" t="n"/>
      <c r="H28" s="14" t="n"/>
    </row>
    <row r="29">
      <c r="A29" s="16" t="n"/>
      <c r="B29" s="6" t="n"/>
      <c r="C29" s="6" t="n"/>
      <c r="D29" s="6" t="n"/>
      <c r="E29" s="6" t="n"/>
      <c r="F29" s="6" t="n"/>
      <c r="G29" s="6" t="n"/>
      <c r="H29" s="16" t="n"/>
    </row>
    <row r="30">
      <c r="A30" s="14" t="n"/>
      <c r="B30" s="7" t="n"/>
      <c r="C30" s="7" t="n"/>
      <c r="D30" s="7" t="n"/>
      <c r="E30" s="7" t="n"/>
      <c r="F30" s="7" t="n"/>
      <c r="G30" s="7" t="n"/>
      <c r="H30" s="14" t="n"/>
    </row>
    <row r="31">
      <c r="A31" s="16" t="n"/>
      <c r="B31" s="6" t="n"/>
      <c r="C31" s="6" t="n"/>
      <c r="D31" s="6" t="n"/>
      <c r="E31" s="6" t="n"/>
      <c r="F31" s="6" t="n"/>
      <c r="G31" s="6" t="n"/>
      <c r="H31" s="16" t="n"/>
    </row>
    <row r="32">
      <c r="A32" s="14" t="n"/>
      <c r="B32" s="7" t="n"/>
      <c r="C32" s="7" t="n"/>
      <c r="D32" s="7" t="n"/>
      <c r="E32" s="7" t="n"/>
      <c r="F32" s="7" t="n"/>
      <c r="G32" s="7" t="n"/>
      <c r="H32" s="14" t="n"/>
    </row>
    <row r="33">
      <c r="A33" s="16" t="n"/>
      <c r="B33" s="6" t="n"/>
      <c r="C33" s="6" t="n"/>
      <c r="D33" s="6" t="n"/>
      <c r="E33" s="6" t="n"/>
      <c r="F33" s="6" t="n"/>
      <c r="G33" s="6" t="n"/>
      <c r="H33" s="16" t="n"/>
    </row>
    <row r="34">
      <c r="A34" s="14" t="n"/>
      <c r="B34" s="7" t="n"/>
      <c r="C34" s="7" t="n"/>
      <c r="D34" s="7" t="n"/>
      <c r="E34" s="7" t="n"/>
      <c r="F34" s="7" t="n"/>
      <c r="G34" s="7" t="n"/>
      <c r="H34" s="14" t="n"/>
    </row>
  </sheetData>
  <dataValidations count="2">
    <dataValidation sqref="B5:B34" showDropDown="0" showInputMessage="0" showErrorMessage="0" allowBlank="1" type="list">
      <formula1>"Sprint planning,Daily check-in,Sprint review,Retrospective,Other"</formula1>
    </dataValidation>
    <dataValidation sqref="G5:G34" showDropDown="0" showInputMessage="0" showErrorMessage="0" allowBlank="1" type="list">
      <formula1>=Team!$B$5:$B$10</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J34"/>
  <sheetViews>
    <sheetView zoomScale="100"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0" customWidth="1" min="9" max="9"/>
    <col width="44" customWidth="1" min="10" max="10"/>
  </cols>
  <sheetData>
    <row r="1">
      <c r="A1" s="1" t="inlineStr">
        <is>
          <t>Peer Evaluation</t>
        </is>
      </c>
    </row>
    <row r="2">
      <c r="A2" s="2" t="inlineStr">
        <is>
          <t>Rate every teammate from 1 (poor) to 5 (excellent). Do not rate yourself. Averages are calculated.</t>
        </is>
      </c>
    </row>
    <row r="4" ht="32" customHeight="1">
      <c r="A4" s="5" t="inlineStr">
        <is>
          <t>Evaluator</t>
        </is>
      </c>
      <c r="B4" s="5" t="inlineStr">
        <is>
          <t>Evaluated member</t>
        </is>
      </c>
      <c r="C4" s="5" t="inlineStr">
        <is>
          <t>Contribution (amount of work)</t>
        </is>
      </c>
      <c r="D4" s="5" t="inlineStr">
        <is>
          <t>Quality of work</t>
        </is>
      </c>
      <c r="E4" s="5" t="inlineStr">
        <is>
          <t>Reliability (meets deadlines)</t>
        </is>
      </c>
      <c r="F4" s="5" t="inlineStr">
        <is>
          <t>Communication</t>
        </is>
      </c>
      <c r="G4" s="5" t="inlineStr">
        <is>
          <t>Teamwork and respect</t>
        </is>
      </c>
      <c r="H4" s="5" t="inlineStr">
        <is>
          <t>Initiative / problem solving</t>
        </is>
      </c>
      <c r="I4" s="5" t="inlineStr">
        <is>
          <t>Average</t>
        </is>
      </c>
      <c r="J4" s="5" t="inlineStr">
        <is>
          <t>Comments</t>
        </is>
      </c>
    </row>
    <row r="5">
      <c r="A5" s="6" t="inlineStr">
        <is>
          <t>Abarquez, Justinbril</t>
        </is>
      </c>
      <c r="B5" s="6" t="inlineStr">
        <is>
          <t>Cruzante, Aaron</t>
        </is>
      </c>
      <c r="C5" s="20" t="n"/>
      <c r="D5" s="20" t="n"/>
      <c r="E5" s="20" t="n"/>
      <c r="F5" s="20" t="n"/>
      <c r="G5" s="20" t="n"/>
      <c r="H5" s="20" t="n"/>
      <c r="I5" s="21">
        <f>IF(COUNT(C5:H5)=0,"",ROUND(AVERAGE(C5:H5),2))</f>
        <v/>
      </c>
      <c r="J5" s="6" t="n"/>
    </row>
    <row r="6">
      <c r="A6" s="6" t="inlineStr">
        <is>
          <t>Abarquez, Justinbril</t>
        </is>
      </c>
      <c r="B6" s="6" t="inlineStr">
        <is>
          <t>Canayong, Ron</t>
        </is>
      </c>
      <c r="C6" s="20" t="n"/>
      <c r="D6" s="20" t="n"/>
      <c r="E6" s="20" t="n"/>
      <c r="F6" s="20" t="n"/>
      <c r="G6" s="20" t="n"/>
      <c r="H6" s="20" t="n"/>
      <c r="I6" s="21">
        <f>IF(COUNT(C6:H6)=0,"",ROUND(AVERAGE(C6:H6),2))</f>
        <v/>
      </c>
      <c r="J6" s="6" t="n"/>
    </row>
    <row r="7">
      <c r="A7" s="6" t="inlineStr">
        <is>
          <t>Abarquez, Justinbril</t>
        </is>
      </c>
      <c r="B7" s="6" t="inlineStr">
        <is>
          <t>Esgana, Justine</t>
        </is>
      </c>
      <c r="C7" s="20" t="n"/>
      <c r="D7" s="20" t="n"/>
      <c r="E7" s="20" t="n"/>
      <c r="F7" s="20" t="n"/>
      <c r="G7" s="20" t="n"/>
      <c r="H7" s="20" t="n"/>
      <c r="I7" s="21">
        <f>IF(COUNT(C7:H7)=0,"",ROUND(AVERAGE(C7:H7),2))</f>
        <v/>
      </c>
      <c r="J7" s="6" t="n"/>
    </row>
    <row r="8">
      <c r="A8" s="6" t="inlineStr">
        <is>
          <t>Abarquez, Justinbril</t>
        </is>
      </c>
      <c r="B8" s="6" t="inlineStr">
        <is>
          <t>Espedilon, Arvien</t>
        </is>
      </c>
      <c r="C8" s="20" t="n"/>
      <c r="D8" s="20" t="n"/>
      <c r="E8" s="20" t="n"/>
      <c r="F8" s="20" t="n"/>
      <c r="G8" s="20" t="n"/>
      <c r="H8" s="20" t="n"/>
      <c r="I8" s="21">
        <f>IF(COUNT(C8:H8)=0,"",ROUND(AVERAGE(C8:H8),2))</f>
        <v/>
      </c>
      <c r="J8" s="6" t="n"/>
    </row>
    <row r="9">
      <c r="A9" s="6" t="inlineStr">
        <is>
          <t>Abarquez, Justinbril</t>
        </is>
      </c>
      <c r="B9" s="6" t="inlineStr">
        <is>
          <t>Dominado, Byrone</t>
        </is>
      </c>
      <c r="C9" s="20" t="n"/>
      <c r="D9" s="20" t="n"/>
      <c r="E9" s="20" t="n"/>
      <c r="F9" s="20" t="n"/>
      <c r="G9" s="20" t="n"/>
      <c r="H9" s="20" t="n"/>
      <c r="I9" s="21">
        <f>IF(COUNT(C9:H9)=0,"",ROUND(AVERAGE(C9:H9),2))</f>
        <v/>
      </c>
      <c r="J9" s="6" t="n"/>
    </row>
    <row r="10">
      <c r="A10" s="6" t="inlineStr">
        <is>
          <t>Cruzante, Aaron</t>
        </is>
      </c>
      <c r="B10" s="6" t="inlineStr">
        <is>
          <t>Abarquez, Justinbril</t>
        </is>
      </c>
      <c r="C10" s="20" t="n"/>
      <c r="D10" s="20" t="n"/>
      <c r="E10" s="20" t="n"/>
      <c r="F10" s="20" t="n"/>
      <c r="G10" s="20" t="n"/>
      <c r="H10" s="20" t="n"/>
      <c r="I10" s="21">
        <f>IF(COUNT(C10:H10)=0,"",ROUND(AVERAGE(C10:H10),2))</f>
        <v/>
      </c>
      <c r="J10" s="6" t="n"/>
    </row>
    <row r="11">
      <c r="A11" s="6" t="inlineStr">
        <is>
          <t>Cruzante, Aaron</t>
        </is>
      </c>
      <c r="B11" s="6" t="inlineStr">
        <is>
          <t>Canayong, Ron</t>
        </is>
      </c>
      <c r="C11" s="20" t="n"/>
      <c r="D11" s="20" t="n"/>
      <c r="E11" s="20" t="n"/>
      <c r="F11" s="20" t="n"/>
      <c r="G11" s="20" t="n"/>
      <c r="H11" s="20" t="n"/>
      <c r="I11" s="21">
        <f>IF(COUNT(C11:H11)=0,"",ROUND(AVERAGE(C11:H11),2))</f>
        <v/>
      </c>
      <c r="J11" s="6" t="n"/>
    </row>
    <row r="12">
      <c r="A12" s="6" t="inlineStr">
        <is>
          <t>Cruzante, Aaron</t>
        </is>
      </c>
      <c r="B12" s="6" t="inlineStr">
        <is>
          <t>Esgana, Justine</t>
        </is>
      </c>
      <c r="C12" s="20" t="n"/>
      <c r="D12" s="20" t="n"/>
      <c r="E12" s="20" t="n"/>
      <c r="F12" s="20" t="n"/>
      <c r="G12" s="20" t="n"/>
      <c r="H12" s="20" t="n"/>
      <c r="I12" s="21">
        <f>IF(COUNT(C12:H12)=0,"",ROUND(AVERAGE(C12:H12),2))</f>
        <v/>
      </c>
      <c r="J12" s="6" t="n"/>
    </row>
    <row r="13">
      <c r="A13" s="6" t="inlineStr">
        <is>
          <t>Cruzante, Aaron</t>
        </is>
      </c>
      <c r="B13" s="6" t="inlineStr">
        <is>
          <t>Espedilon, Arvien</t>
        </is>
      </c>
      <c r="C13" s="20" t="n"/>
      <c r="D13" s="20" t="n"/>
      <c r="E13" s="20" t="n"/>
      <c r="F13" s="20" t="n"/>
      <c r="G13" s="20" t="n"/>
      <c r="H13" s="20" t="n"/>
      <c r="I13" s="21">
        <f>IF(COUNT(C13:H13)=0,"",ROUND(AVERAGE(C13:H13),2))</f>
        <v/>
      </c>
      <c r="J13" s="6" t="n"/>
    </row>
    <row r="14">
      <c r="A14" s="6" t="inlineStr">
        <is>
          <t>Cruzante, Aaron</t>
        </is>
      </c>
      <c r="B14" s="6" t="inlineStr">
        <is>
          <t>Dominado, Byrone</t>
        </is>
      </c>
      <c r="C14" s="20" t="n"/>
      <c r="D14" s="20" t="n"/>
      <c r="E14" s="20" t="n"/>
      <c r="F14" s="20" t="n"/>
      <c r="G14" s="20" t="n"/>
      <c r="H14" s="20" t="n"/>
      <c r="I14" s="21">
        <f>IF(COUNT(C14:H14)=0,"",ROUND(AVERAGE(C14:H14),2))</f>
        <v/>
      </c>
      <c r="J14" s="6" t="n"/>
    </row>
    <row r="15">
      <c r="A15" s="6" t="inlineStr">
        <is>
          <t>Canayong, Ron</t>
        </is>
      </c>
      <c r="B15" s="6" t="inlineStr">
        <is>
          <t>Abarquez, Justinbril</t>
        </is>
      </c>
      <c r="C15" s="20" t="n"/>
      <c r="D15" s="20" t="n"/>
      <c r="E15" s="20" t="n"/>
      <c r="F15" s="20" t="n"/>
      <c r="G15" s="20" t="n"/>
      <c r="H15" s="20" t="n"/>
      <c r="I15" s="21">
        <f>IF(COUNT(C15:H15)=0,"",ROUND(AVERAGE(C15:H15),2))</f>
        <v/>
      </c>
      <c r="J15" s="6" t="n"/>
    </row>
    <row r="16">
      <c r="A16" s="6" t="inlineStr">
        <is>
          <t>Canayong, Ron</t>
        </is>
      </c>
      <c r="B16" s="6" t="inlineStr">
        <is>
          <t>Cruzante, Aaron</t>
        </is>
      </c>
      <c r="C16" s="20" t="n"/>
      <c r="D16" s="20" t="n"/>
      <c r="E16" s="20" t="n"/>
      <c r="F16" s="20" t="n"/>
      <c r="G16" s="20" t="n"/>
      <c r="H16" s="20" t="n"/>
      <c r="I16" s="21">
        <f>IF(COUNT(C16:H16)=0,"",ROUND(AVERAGE(C16:H16),2))</f>
        <v/>
      </c>
      <c r="J16" s="6" t="n"/>
    </row>
    <row r="17">
      <c r="A17" s="6" t="inlineStr">
        <is>
          <t>Canayong, Ron</t>
        </is>
      </c>
      <c r="B17" s="6" t="inlineStr">
        <is>
          <t>Esgana, Justine</t>
        </is>
      </c>
      <c r="C17" s="20" t="n"/>
      <c r="D17" s="20" t="n"/>
      <c r="E17" s="20" t="n"/>
      <c r="F17" s="20" t="n"/>
      <c r="G17" s="20" t="n"/>
      <c r="H17" s="20" t="n"/>
      <c r="I17" s="21">
        <f>IF(COUNT(C17:H17)=0,"",ROUND(AVERAGE(C17:H17),2))</f>
        <v/>
      </c>
      <c r="J17" s="6" t="n"/>
    </row>
    <row r="18">
      <c r="A18" s="6" t="inlineStr">
        <is>
          <t>Canayong, Ron</t>
        </is>
      </c>
      <c r="B18" s="6" t="inlineStr">
        <is>
          <t>Espedilon, Arvien</t>
        </is>
      </c>
      <c r="C18" s="20" t="n"/>
      <c r="D18" s="20" t="n"/>
      <c r="E18" s="20" t="n"/>
      <c r="F18" s="20" t="n"/>
      <c r="G18" s="20" t="n"/>
      <c r="H18" s="20" t="n"/>
      <c r="I18" s="21">
        <f>IF(COUNT(C18:H18)=0,"",ROUND(AVERAGE(C18:H18),2))</f>
        <v/>
      </c>
      <c r="J18" s="6" t="n"/>
    </row>
    <row r="19">
      <c r="A19" s="6" t="inlineStr">
        <is>
          <t>Canayong, Ron</t>
        </is>
      </c>
      <c r="B19" s="6" t="inlineStr">
        <is>
          <t>Dominado, Byrone</t>
        </is>
      </c>
      <c r="C19" s="20" t="n"/>
      <c r="D19" s="20" t="n"/>
      <c r="E19" s="20" t="n"/>
      <c r="F19" s="20" t="n"/>
      <c r="G19" s="20" t="n"/>
      <c r="H19" s="20" t="n"/>
      <c r="I19" s="21">
        <f>IF(COUNT(C19:H19)=0,"",ROUND(AVERAGE(C19:H19),2))</f>
        <v/>
      </c>
      <c r="J19" s="6" t="n"/>
    </row>
    <row r="20">
      <c r="A20" s="6" t="inlineStr">
        <is>
          <t>Esgana, Justine</t>
        </is>
      </c>
      <c r="B20" s="6" t="inlineStr">
        <is>
          <t>Abarquez, Justinbril</t>
        </is>
      </c>
      <c r="C20" s="20" t="n"/>
      <c r="D20" s="20" t="n"/>
      <c r="E20" s="20" t="n"/>
      <c r="F20" s="20" t="n"/>
      <c r="G20" s="20" t="n"/>
      <c r="H20" s="20" t="n"/>
      <c r="I20" s="21">
        <f>IF(COUNT(C20:H20)=0,"",ROUND(AVERAGE(C20:H20),2))</f>
        <v/>
      </c>
      <c r="J20" s="6" t="n"/>
    </row>
    <row r="21">
      <c r="A21" s="6" t="inlineStr">
        <is>
          <t>Esgana, Justine</t>
        </is>
      </c>
      <c r="B21" s="6" t="inlineStr">
        <is>
          <t>Cruzante, Aaron</t>
        </is>
      </c>
      <c r="C21" s="20" t="n"/>
      <c r="D21" s="20" t="n"/>
      <c r="E21" s="20" t="n"/>
      <c r="F21" s="20" t="n"/>
      <c r="G21" s="20" t="n"/>
      <c r="H21" s="20" t="n"/>
      <c r="I21" s="21">
        <f>IF(COUNT(C21:H21)=0,"",ROUND(AVERAGE(C21:H21),2))</f>
        <v/>
      </c>
      <c r="J21" s="6" t="n"/>
    </row>
    <row r="22">
      <c r="A22" s="6" t="inlineStr">
        <is>
          <t>Esgana, Justine</t>
        </is>
      </c>
      <c r="B22" s="6" t="inlineStr">
        <is>
          <t>Canayong, Ron</t>
        </is>
      </c>
      <c r="C22" s="20" t="n"/>
      <c r="D22" s="20" t="n"/>
      <c r="E22" s="20" t="n"/>
      <c r="F22" s="20" t="n"/>
      <c r="G22" s="20" t="n"/>
      <c r="H22" s="20" t="n"/>
      <c r="I22" s="21">
        <f>IF(COUNT(C22:H22)=0,"",ROUND(AVERAGE(C22:H22),2))</f>
        <v/>
      </c>
      <c r="J22" s="6" t="n"/>
    </row>
    <row r="23">
      <c r="A23" s="6" t="inlineStr">
        <is>
          <t>Esgana, Justine</t>
        </is>
      </c>
      <c r="B23" s="6" t="inlineStr">
        <is>
          <t>Espedilon, Arvien</t>
        </is>
      </c>
      <c r="C23" s="20" t="n"/>
      <c r="D23" s="20" t="n"/>
      <c r="E23" s="20" t="n"/>
      <c r="F23" s="20" t="n"/>
      <c r="G23" s="20" t="n"/>
      <c r="H23" s="20" t="n"/>
      <c r="I23" s="21">
        <f>IF(COUNT(C23:H23)=0,"",ROUND(AVERAGE(C23:H23),2))</f>
        <v/>
      </c>
      <c r="J23" s="6" t="n"/>
    </row>
    <row r="24">
      <c r="A24" s="6" t="inlineStr">
        <is>
          <t>Esgana, Justine</t>
        </is>
      </c>
      <c r="B24" s="6" t="inlineStr">
        <is>
          <t>Dominado, Byrone</t>
        </is>
      </c>
      <c r="C24" s="20" t="n"/>
      <c r="D24" s="20" t="n"/>
      <c r="E24" s="20" t="n"/>
      <c r="F24" s="20" t="n"/>
      <c r="G24" s="20" t="n"/>
      <c r="H24" s="20" t="n"/>
      <c r="I24" s="21">
        <f>IF(COUNT(C24:H24)=0,"",ROUND(AVERAGE(C24:H24),2))</f>
        <v/>
      </c>
      <c r="J24" s="6" t="n"/>
    </row>
    <row r="25">
      <c r="A25" s="6" t="inlineStr">
        <is>
          <t>Espedilon, Arvien</t>
        </is>
      </c>
      <c r="B25" s="6" t="inlineStr">
        <is>
          <t>Abarquez, Justinbril</t>
        </is>
      </c>
      <c r="C25" s="20" t="n"/>
      <c r="D25" s="20" t="n"/>
      <c r="E25" s="20" t="n"/>
      <c r="F25" s="20" t="n"/>
      <c r="G25" s="20" t="n"/>
      <c r="H25" s="20" t="n"/>
      <c r="I25" s="21">
        <f>IF(COUNT(C25:H25)=0,"",ROUND(AVERAGE(C25:H25),2))</f>
        <v/>
      </c>
      <c r="J25" s="6" t="n"/>
    </row>
    <row r="26">
      <c r="A26" s="6" t="inlineStr">
        <is>
          <t>Espedilon, Arvien</t>
        </is>
      </c>
      <c r="B26" s="6" t="inlineStr">
        <is>
          <t>Cruzante, Aaron</t>
        </is>
      </c>
      <c r="C26" s="20" t="n"/>
      <c r="D26" s="20" t="n"/>
      <c r="E26" s="20" t="n"/>
      <c r="F26" s="20" t="n"/>
      <c r="G26" s="20" t="n"/>
      <c r="H26" s="20" t="n"/>
      <c r="I26" s="21">
        <f>IF(COUNT(C26:H26)=0,"",ROUND(AVERAGE(C26:H26),2))</f>
        <v/>
      </c>
      <c r="J26" s="6" t="n"/>
    </row>
    <row r="27">
      <c r="A27" s="6" t="inlineStr">
        <is>
          <t>Espedilon, Arvien</t>
        </is>
      </c>
      <c r="B27" s="6" t="inlineStr">
        <is>
          <t>Canayong, Ron</t>
        </is>
      </c>
      <c r="C27" s="20" t="n"/>
      <c r="D27" s="20" t="n"/>
      <c r="E27" s="20" t="n"/>
      <c r="F27" s="20" t="n"/>
      <c r="G27" s="20" t="n"/>
      <c r="H27" s="20" t="n"/>
      <c r="I27" s="21">
        <f>IF(COUNT(C27:H27)=0,"",ROUND(AVERAGE(C27:H27),2))</f>
        <v/>
      </c>
      <c r="J27" s="6" t="n"/>
    </row>
    <row r="28">
      <c r="A28" s="6" t="inlineStr">
        <is>
          <t>Espedilon, Arvien</t>
        </is>
      </c>
      <c r="B28" s="6" t="inlineStr">
        <is>
          <t>Esgana, Justine</t>
        </is>
      </c>
      <c r="C28" s="20" t="n"/>
      <c r="D28" s="20" t="n"/>
      <c r="E28" s="20" t="n"/>
      <c r="F28" s="20" t="n"/>
      <c r="G28" s="20" t="n"/>
      <c r="H28" s="20" t="n"/>
      <c r="I28" s="21">
        <f>IF(COUNT(C28:H28)=0,"",ROUND(AVERAGE(C28:H28),2))</f>
        <v/>
      </c>
      <c r="J28" s="6" t="n"/>
    </row>
    <row r="29">
      <c r="A29" s="6" t="inlineStr">
        <is>
          <t>Espedilon, Arvien</t>
        </is>
      </c>
      <c r="B29" s="6" t="inlineStr">
        <is>
          <t>Dominado, Byrone</t>
        </is>
      </c>
      <c r="C29" s="20" t="n"/>
      <c r="D29" s="20" t="n"/>
      <c r="E29" s="20" t="n"/>
      <c r="F29" s="20" t="n"/>
      <c r="G29" s="20" t="n"/>
      <c r="H29" s="20" t="n"/>
      <c r="I29" s="21">
        <f>IF(COUNT(C29:H29)=0,"",ROUND(AVERAGE(C29:H29),2))</f>
        <v/>
      </c>
      <c r="J29" s="6" t="n"/>
    </row>
    <row r="30">
      <c r="A30" s="6" t="inlineStr">
        <is>
          <t>Dominado, Byrone</t>
        </is>
      </c>
      <c r="B30" s="6" t="inlineStr">
        <is>
          <t>Abarquez, Justinbril</t>
        </is>
      </c>
      <c r="C30" s="20" t="n"/>
      <c r="D30" s="20" t="n"/>
      <c r="E30" s="20" t="n"/>
      <c r="F30" s="20" t="n"/>
      <c r="G30" s="20" t="n"/>
      <c r="H30" s="20" t="n"/>
      <c r="I30" s="21">
        <f>IF(COUNT(C30:H30)=0,"",ROUND(AVERAGE(C30:H30),2))</f>
        <v/>
      </c>
      <c r="J30" s="6" t="n"/>
    </row>
    <row r="31">
      <c r="A31" s="6" t="inlineStr">
        <is>
          <t>Dominado, Byrone</t>
        </is>
      </c>
      <c r="B31" s="6" t="inlineStr">
        <is>
          <t>Cruzante, Aaron</t>
        </is>
      </c>
      <c r="C31" s="20" t="n"/>
      <c r="D31" s="20" t="n"/>
      <c r="E31" s="20" t="n"/>
      <c r="F31" s="20" t="n"/>
      <c r="G31" s="20" t="n"/>
      <c r="H31" s="20" t="n"/>
      <c r="I31" s="21">
        <f>IF(COUNT(C31:H31)=0,"",ROUND(AVERAGE(C31:H31),2))</f>
        <v/>
      </c>
      <c r="J31" s="6" t="n"/>
    </row>
    <row r="32">
      <c r="A32" s="6" t="inlineStr">
        <is>
          <t>Dominado, Byrone</t>
        </is>
      </c>
      <c r="B32" s="6" t="inlineStr">
        <is>
          <t>Canayong, Ron</t>
        </is>
      </c>
      <c r="C32" s="20" t="n"/>
      <c r="D32" s="20" t="n"/>
      <c r="E32" s="20" t="n"/>
      <c r="F32" s="20" t="n"/>
      <c r="G32" s="20" t="n"/>
      <c r="H32" s="20" t="n"/>
      <c r="I32" s="21">
        <f>IF(COUNT(C32:H32)=0,"",ROUND(AVERAGE(C32:H32),2))</f>
        <v/>
      </c>
      <c r="J32" s="6" t="n"/>
    </row>
    <row r="33">
      <c r="A33" s="6" t="inlineStr">
        <is>
          <t>Dominado, Byrone</t>
        </is>
      </c>
      <c r="B33" s="6" t="inlineStr">
        <is>
          <t>Esgana, Justine</t>
        </is>
      </c>
      <c r="C33" s="20" t="n"/>
      <c r="D33" s="20" t="n"/>
      <c r="E33" s="20" t="n"/>
      <c r="F33" s="20" t="n"/>
      <c r="G33" s="20" t="n"/>
      <c r="H33" s="20" t="n"/>
      <c r="I33" s="21">
        <f>IF(COUNT(C33:H33)=0,"",ROUND(AVERAGE(C33:H33),2))</f>
        <v/>
      </c>
      <c r="J33" s="6" t="n"/>
    </row>
    <row r="34">
      <c r="A34" s="6" t="inlineStr">
        <is>
          <t>Dominado, Byrone</t>
        </is>
      </c>
      <c r="B34" s="6" t="inlineStr">
        <is>
          <t>Espedilon, Arvien</t>
        </is>
      </c>
      <c r="C34" s="20" t="n"/>
      <c r="D34" s="20" t="n"/>
      <c r="E34" s="20" t="n"/>
      <c r="F34" s="20" t="n"/>
      <c r="G34" s="20" t="n"/>
      <c r="H34" s="20" t="n"/>
      <c r="I34" s="21">
        <f>IF(COUNT(C34:H34)=0,"",ROUND(AVERAGE(C34:H34),2))</f>
        <v/>
      </c>
      <c r="J34" s="6" t="n"/>
    </row>
  </sheetData>
  <autoFilter ref="A4:J34"/>
  <dataValidations count="1">
    <dataValidation sqref="C5:H34" showDropDown="0" showInputMessage="0" showErrorMessage="0" allowBlank="1" errorTitle="Rating" error="Enter a whole number from 1 to 5" type="whole" operator="between">
      <formula1>1</formula1>
      <formula2>5</formula2>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I11"/>
  <sheetViews>
    <sheetView zoomScale="100" workbookViewId="0">
      <pane ySplit="4" topLeftCell="A5" activePane="bottomLeft" state="frozen"/>
      <selection pane="bottomLeft" activeCell="A1" sqref="A1"/>
    </sheetView>
  </sheetViews>
  <sheetFormatPr baseColWidth="8" defaultRowHeight="15"/>
  <cols>
    <col width="28" customWidth="1" min="1" max="1"/>
    <col width="34" customWidth="1" min="2" max="2"/>
    <col width="14" customWidth="1" min="3" max="3"/>
    <col width="12" customWidth="1" min="4" max="4"/>
    <col width="10" customWidth="1" min="5" max="5"/>
    <col width="14" customWidth="1" min="6" max="6"/>
    <col width="16" customWidth="1" min="7" max="7"/>
    <col width="20" customWidth="1" min="8" max="8"/>
    <col width="40" customWidth="1" min="9" max="9"/>
  </cols>
  <sheetData>
    <row r="1">
      <c r="A1" s="1" t="inlineStr">
        <is>
          <t>Summary per member</t>
        </is>
      </c>
    </row>
    <row r="2">
      <c r="A2" s="2" t="inlineStr">
        <is>
          <t>Calculated from the other sheets. Do not type in the grey cells.</t>
        </is>
      </c>
    </row>
    <row r="4" ht="32" customHeight="1">
      <c r="A4" s="5" t="inlineStr">
        <is>
          <t>Member</t>
        </is>
      </c>
      <c r="B4" s="5" t="inlineStr">
        <is>
          <t>Role</t>
        </is>
      </c>
      <c r="C4" s="5" t="inlineStr">
        <is>
          <t>Tasks assigned</t>
        </is>
      </c>
      <c r="D4" s="5" t="inlineStr">
        <is>
          <t>Tasks done</t>
        </is>
      </c>
      <c r="E4" s="5" t="inlineStr">
        <is>
          <t>% done</t>
        </is>
      </c>
      <c r="F4" s="5" t="inlineStr">
        <is>
          <t>Hours (tasks)</t>
        </is>
      </c>
      <c r="G4" s="5" t="inlineStr">
        <is>
          <t>Share of total hours</t>
        </is>
      </c>
      <c r="H4" s="5" t="inlineStr">
        <is>
          <t>Average peer score (1 to 5)</t>
        </is>
      </c>
      <c r="I4" s="5" t="inlineStr">
        <is>
          <t>Remark</t>
        </is>
      </c>
    </row>
    <row r="5">
      <c r="A5" s="22">
        <f>Team!B5</f>
        <v/>
      </c>
      <c r="B5" s="22">
        <f>Team!C5</f>
        <v/>
      </c>
      <c r="C5" s="22">
        <f>COUNTIF('Task Tracker'!$D$5:$D$54,A5)</f>
        <v/>
      </c>
      <c r="D5" s="22">
        <f>COUNTIFS('Task Tracker'!$D$5:$D$54,A5,'Task Tracker'!$F$5:$F$54,"Done")</f>
        <v/>
      </c>
      <c r="E5" s="23">
        <f>IF(C5=0,"",D5/C5)</f>
        <v/>
      </c>
      <c r="F5" s="24">
        <f>SUMIF('Task Tracker'!$D$5:$D$54,A5,'Task Tracker'!$J$5:$J$54)</f>
        <v/>
      </c>
      <c r="G5" s="23">
        <f>IF(SUM($F$5:$F$10)=0,"",F5/SUM($F$5:$F$10))</f>
        <v/>
      </c>
      <c r="H5" s="25">
        <f>IFERROR(ROUND(AVERAGEIF('Peer Evaluation'!$B$5:$B$34,A5,'Peer Evaluation'!$I$5:$I$34),2),"")</f>
        <v/>
      </c>
      <c r="I5" s="6" t="n"/>
    </row>
    <row r="6">
      <c r="A6" s="22">
        <f>Team!B6</f>
        <v/>
      </c>
      <c r="B6" s="22">
        <f>Team!C6</f>
        <v/>
      </c>
      <c r="C6" s="22">
        <f>COUNTIF('Task Tracker'!$D$5:$D$54,A6)</f>
        <v/>
      </c>
      <c r="D6" s="22">
        <f>COUNTIFS('Task Tracker'!$D$5:$D$54,A6,'Task Tracker'!$F$5:$F$54,"Done")</f>
        <v/>
      </c>
      <c r="E6" s="23">
        <f>IF(C6=0,"",D6/C6)</f>
        <v/>
      </c>
      <c r="F6" s="24">
        <f>SUMIF('Task Tracker'!$D$5:$D$54,A6,'Task Tracker'!$J$5:$J$54)</f>
        <v/>
      </c>
      <c r="G6" s="23">
        <f>IF(SUM($F$5:$F$10)=0,"",F6/SUM($F$5:$F$10))</f>
        <v/>
      </c>
      <c r="H6" s="25">
        <f>IFERROR(ROUND(AVERAGEIF('Peer Evaluation'!$B$5:$B$34,A6,'Peer Evaluation'!$I$5:$I$34),2),"")</f>
        <v/>
      </c>
      <c r="I6" s="6" t="n"/>
    </row>
    <row r="7">
      <c r="A7" s="22">
        <f>Team!B7</f>
        <v/>
      </c>
      <c r="B7" s="22">
        <f>Team!C7</f>
        <v/>
      </c>
      <c r="C7" s="22">
        <f>COUNTIF('Task Tracker'!$D$5:$D$54,A7)</f>
        <v/>
      </c>
      <c r="D7" s="22">
        <f>COUNTIFS('Task Tracker'!$D$5:$D$54,A7,'Task Tracker'!$F$5:$F$54,"Done")</f>
        <v/>
      </c>
      <c r="E7" s="23">
        <f>IF(C7=0,"",D7/C7)</f>
        <v/>
      </c>
      <c r="F7" s="24">
        <f>SUMIF('Task Tracker'!$D$5:$D$54,A7,'Task Tracker'!$J$5:$J$54)</f>
        <v/>
      </c>
      <c r="G7" s="23">
        <f>IF(SUM($F$5:$F$10)=0,"",F7/SUM($F$5:$F$10))</f>
        <v/>
      </c>
      <c r="H7" s="25">
        <f>IFERROR(ROUND(AVERAGEIF('Peer Evaluation'!$B$5:$B$34,A7,'Peer Evaluation'!$I$5:$I$34),2),"")</f>
        <v/>
      </c>
      <c r="I7" s="6" t="n"/>
    </row>
    <row r="8">
      <c r="A8" s="22">
        <f>Team!B8</f>
        <v/>
      </c>
      <c r="B8" s="22">
        <f>Team!C8</f>
        <v/>
      </c>
      <c r="C8" s="22">
        <f>COUNTIF('Task Tracker'!$D$5:$D$54,A8)</f>
        <v/>
      </c>
      <c r="D8" s="22">
        <f>COUNTIFS('Task Tracker'!$D$5:$D$54,A8,'Task Tracker'!$F$5:$F$54,"Done")</f>
        <v/>
      </c>
      <c r="E8" s="23">
        <f>IF(C8=0,"",D8/C8)</f>
        <v/>
      </c>
      <c r="F8" s="24">
        <f>SUMIF('Task Tracker'!$D$5:$D$54,A8,'Task Tracker'!$J$5:$J$54)</f>
        <v/>
      </c>
      <c r="G8" s="23">
        <f>IF(SUM($F$5:$F$10)=0,"",F8/SUM($F$5:$F$10))</f>
        <v/>
      </c>
      <c r="H8" s="25">
        <f>IFERROR(ROUND(AVERAGEIF('Peer Evaluation'!$B$5:$B$34,A8,'Peer Evaluation'!$I$5:$I$34),2),"")</f>
        <v/>
      </c>
      <c r="I8" s="6" t="n"/>
    </row>
    <row r="9">
      <c r="A9" s="22">
        <f>Team!B9</f>
        <v/>
      </c>
      <c r="B9" s="22">
        <f>Team!C9</f>
        <v/>
      </c>
      <c r="C9" s="22">
        <f>COUNTIF('Task Tracker'!$D$5:$D$54,A9)</f>
        <v/>
      </c>
      <c r="D9" s="22">
        <f>COUNTIFS('Task Tracker'!$D$5:$D$54,A9,'Task Tracker'!$F$5:$F$54,"Done")</f>
        <v/>
      </c>
      <c r="E9" s="23">
        <f>IF(C9=0,"",D9/C9)</f>
        <v/>
      </c>
      <c r="F9" s="24">
        <f>SUMIF('Task Tracker'!$D$5:$D$54,A9,'Task Tracker'!$J$5:$J$54)</f>
        <v/>
      </c>
      <c r="G9" s="23">
        <f>IF(SUM($F$5:$F$10)=0,"",F9/SUM($F$5:$F$10))</f>
        <v/>
      </c>
      <c r="H9" s="25">
        <f>IFERROR(ROUND(AVERAGEIF('Peer Evaluation'!$B$5:$B$34,A9,'Peer Evaluation'!$I$5:$I$34),2),"")</f>
        <v/>
      </c>
      <c r="I9" s="6" t="n"/>
    </row>
    <row r="10">
      <c r="A10" s="22">
        <f>Team!B10</f>
        <v/>
      </c>
      <c r="B10" s="22">
        <f>Team!C10</f>
        <v/>
      </c>
      <c r="C10" s="22">
        <f>COUNTIF('Task Tracker'!$D$5:$D$54,A10)</f>
        <v/>
      </c>
      <c r="D10" s="22">
        <f>COUNTIFS('Task Tracker'!$D$5:$D$54,A10,'Task Tracker'!$F$5:$F$54,"Done")</f>
        <v/>
      </c>
      <c r="E10" s="23">
        <f>IF(C10=0,"",D10/C10)</f>
        <v/>
      </c>
      <c r="F10" s="24">
        <f>SUMIF('Task Tracker'!$D$5:$D$54,A10,'Task Tracker'!$J$5:$J$54)</f>
        <v/>
      </c>
      <c r="G10" s="23">
        <f>IF(SUM($F$5:$F$10)=0,"",F10/SUM($F$5:$F$10))</f>
        <v/>
      </c>
      <c r="H10" s="25">
        <f>IFERROR(ROUND(AVERAGEIF('Peer Evaluation'!$B$5:$B$34,A10,'Peer Evaluation'!$I$5:$I$34),2),"")</f>
        <v/>
      </c>
      <c r="I10" s="6" t="n"/>
    </row>
    <row r="11">
      <c r="A11" s="26" t="inlineStr">
        <is>
          <t>Total</t>
        </is>
      </c>
      <c r="B11" s="26" t="n"/>
      <c r="C11" s="26">
        <f>SUM(C5:C10)</f>
        <v/>
      </c>
      <c r="D11" s="26">
        <f>SUM(D5:D10)</f>
        <v/>
      </c>
      <c r="E11" s="27">
        <f>IF(C11=0,"",D11/C11)</f>
        <v/>
      </c>
      <c r="F11" s="28">
        <f>SUM(F5:F10)</f>
        <v/>
      </c>
      <c r="G11" s="26" t="n"/>
      <c r="H11" s="26" t="n"/>
      <c r="I11" s="26" t="n"/>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2026-10-14T13:41:23Z</dcterms:created>
  <dcterms:modified xsi:type="dcterms:W3CDTF">2026-10-14T13:41:23Z</dcterms:modified>
</cp:coreProperties>
</file>